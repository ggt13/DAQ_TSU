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CS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4">
    <font>
      <name val="Calibri"/>
      <family val="2"/>
      <color theme="1"/>
      <sz val="11"/>
      <scheme val="minor"/>
    </font>
    <font>
      <color rgb="000000FF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 RC-5 contra la referencia · (tu nombre)</a:t>
            </a:r>
          </a:p>
        </rich>
      </tx>
    </title>
    <plotArea>
      <scatterChart>
        <ser>
          <idx val="0"/>
          <order val="0"/>
          <tx>
            <strRef>
              <f>'Resultados'!J1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'Resultados'!$I$2:$I$401</f>
            </numRef>
          </xVal>
          <yVal>
            <numRef>
              <f>'Resultados'!$J$2:$J$401</f>
            </numRef>
          </yVal>
        </ser>
        <ser>
          <idx val="1"/>
          <order val="1"/>
          <tx>
            <strRef>
              <f>'Resultados'!K1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'Resultados'!$I$2:$I$401</f>
            </numRef>
          </xVal>
          <yVal>
            <numRef>
              <f>'Resultados'!$K$2:$K$401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Minuto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Temperatura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4" customWidth="1" min="9" max="9"/>
    <col width="24" customWidth="1" min="10" max="10"/>
    <col width="24" customWidth="1" min="11" max="11"/>
  </cols>
  <sheetData>
    <row r="1">
      <c r="A1" t="inlineStr">
        <is>
          <t>Nombre completo ✎</t>
        </is>
      </c>
      <c r="B1" s="1" t="n"/>
      <c r="H1" s="2" t="inlineStr">
        <is>
          <t>Encabezado en CSV</t>
        </is>
      </c>
      <c r="I1" s="3" t="inlineStr">
        <is>
          <t>Minuto</t>
        </is>
      </c>
      <c r="J1" s="3">
        <f>"Tu RC-5 · "&amp;$B$1</f>
        <v/>
      </c>
      <c r="K1" s="3">
        <f>"Referencia · "&amp;$B$1</f>
        <v/>
      </c>
    </row>
    <row r="2">
      <c r="A2" t="inlineStr">
        <is>
          <t>Código de alumno ✎</t>
        </is>
      </c>
      <c r="B2" s="1" t="n"/>
      <c r="H2">
        <f>IFERROR(MATCH("minuto",CSV!$A:$A,0),"")</f>
        <v/>
      </c>
      <c r="I2">
        <f>IF($H$2="",NA(),IF(INDEX(CSV!$A:$A,$H$2+1)="",NA(),INDEX(CSV!$A:$A,$H$2+1)*1))</f>
        <v/>
      </c>
      <c r="J2">
        <f>IF($H$2="",NA(),IF(INDEX(CSV!$B:$B,$H$2+1)="",NA(),INDEX(CSV!$B:$B,$H$2+1)*1))</f>
        <v/>
      </c>
      <c r="K2">
        <f>IF($H$2="",NA(),IF(INDEX(CSV!$C:$C,$H$2+1)="",NA(),INDEX(CSV!$C:$C,$H$2+1)*1))</f>
        <v/>
      </c>
    </row>
    <row r="3">
      <c r="A3" t="inlineStr">
        <is>
          <t>Código en el CSV</t>
        </is>
      </c>
      <c r="B3">
        <f>IFERROR(VLOOKUP("codigo",CSV!$A:$B,2,FALSE),"")</f>
        <v/>
      </c>
      <c r="I3">
        <f>IF($H$2="",NA(),IF(INDEX(CSV!$A:$A,$H$2+2)="",NA(),INDEX(CSV!$A:$A,$H$2+2)*1))</f>
        <v/>
      </c>
      <c r="J3">
        <f>IF($H$2="",NA(),IF(INDEX(CSV!$B:$B,$H$2+2)="",NA(),INDEX(CSV!$B:$B,$H$2+2)*1))</f>
        <v/>
      </c>
      <c r="K3">
        <f>IF($H$2="",NA(),IF(INDEX(CSV!$C:$C,$H$2+2)="",NA(),INDEX(CSV!$C:$C,$H$2+2)*1))</f>
        <v/>
      </c>
    </row>
    <row r="4">
      <c r="A4" t="inlineStr">
        <is>
          <t>Verificación</t>
        </is>
      </c>
      <c r="B4">
        <f>IF(B3="","Importa tu CSV",IF(B2="","Escribe tu código",IF(TRIM(B3&amp;"")=TRIM(B2&amp;""),"OK","NO COINCIDE")))</f>
        <v/>
      </c>
      <c r="I4">
        <f>IF($H$2="",NA(),IF(INDEX(CSV!$A:$A,$H$2+3)="",NA(),INDEX(CSV!$A:$A,$H$2+3)*1))</f>
        <v/>
      </c>
      <c r="J4">
        <f>IF($H$2="",NA(),IF(INDEX(CSV!$B:$B,$H$2+3)="",NA(),INDEX(CSV!$B:$B,$H$2+3)*1))</f>
        <v/>
      </c>
      <c r="K4">
        <f>IF($H$2="",NA(),IF(INDEX(CSV!$C:$C,$H$2+3)="",NA(),INDEX(CSV!$C:$C,$H$2+3)*1))</f>
        <v/>
      </c>
    </row>
    <row r="5">
      <c r="A5" t="inlineStr">
        <is>
          <t>Huella del cuaderno</t>
        </is>
      </c>
      <c r="B5">
        <f>IFERROR(VLOOKUP("huella",CSV!$A:$B,2,FALSE),"")</f>
        <v/>
      </c>
      <c r="I5">
        <f>IF($H$2="",NA(),IF(INDEX(CSV!$A:$A,$H$2+4)="",NA(),INDEX(CSV!$A:$A,$H$2+4)*1))</f>
        <v/>
      </c>
      <c r="J5">
        <f>IF($H$2="",NA(),IF(INDEX(CSV!$B:$B,$H$2+4)="",NA(),INDEX(CSV!$B:$B,$H$2+4)*1))</f>
        <v/>
      </c>
      <c r="K5">
        <f>IF($H$2="",NA(),IF(INDEX(CSV!$C:$C,$H$2+4)="",NA(),INDEX(CSV!$C:$C,$H$2+4)*1))</f>
        <v/>
      </c>
    </row>
    <row r="6">
      <c r="A6" t="inlineStr">
        <is>
          <t>Sesión</t>
        </is>
      </c>
      <c r="B6">
        <f>IFERROR(VLOOKUP("sesion",CSV!$A:$B,2,FALSE),"")</f>
        <v/>
      </c>
      <c r="I6">
        <f>IF($H$2="",NA(),IF(INDEX(CSV!$A:$A,$H$2+5)="",NA(),INDEX(CSV!$A:$A,$H$2+5)*1))</f>
        <v/>
      </c>
      <c r="J6">
        <f>IF($H$2="",NA(),IF(INDEX(CSV!$B:$B,$H$2+5)="",NA(),INDEX(CSV!$B:$B,$H$2+5)*1))</f>
        <v/>
      </c>
      <c r="K6">
        <f>IF($H$2="",NA(),IF(INDEX(CSV!$C:$C,$H$2+5)="",NA(),INDEX(CSV!$C:$C,$H$2+5)*1))</f>
        <v/>
      </c>
    </row>
    <row r="7">
      <c r="A7" t="inlineStr">
        <is>
          <t>Fuente de los datos</t>
        </is>
      </c>
      <c r="B7">
        <f>IFERROR(VLOOKUP("fuente",CSV!$A:$B,2,FALSE),"")</f>
        <v/>
      </c>
      <c r="I7">
        <f>IF($H$2="",NA(),IF(INDEX(CSV!$A:$A,$H$2+6)="",NA(),INDEX(CSV!$A:$A,$H$2+6)*1))</f>
        <v/>
      </c>
      <c r="J7">
        <f>IF($H$2="",NA(),IF(INDEX(CSV!$B:$B,$H$2+6)="",NA(),INDEX(CSV!$B:$B,$H$2+6)*1))</f>
        <v/>
      </c>
      <c r="K7">
        <f>IF($H$2="",NA(),IF(INDEX(CSV!$C:$C,$H$2+6)="",NA(),INDEX(CSV!$C:$C,$H$2+6)*1))</f>
        <v/>
      </c>
    </row>
    <row r="8">
      <c r="A8" t="inlineStr">
        <is>
          <t>Registrador</t>
        </is>
      </c>
      <c r="B8">
        <f>IFERROR(VLOOKUP("registrador",CSV!$A:$B,2,FALSE),"")</f>
        <v/>
      </c>
      <c r="I8">
        <f>IF($H$2="",NA(),IF(INDEX(CSV!$A:$A,$H$2+7)="",NA(),INDEX(CSV!$A:$A,$H$2+7)*1))</f>
        <v/>
      </c>
      <c r="J8">
        <f>IF($H$2="",NA(),IF(INDEX(CSV!$B:$B,$H$2+7)="",NA(),INDEX(CSV!$B:$B,$H$2+7)*1))</f>
        <v/>
      </c>
      <c r="K8">
        <f>IF($H$2="",NA(),IF(INDEX(CSV!$C:$C,$H$2+7)="",NA(),INDEX(CSV!$C:$C,$H$2+7)*1))</f>
        <v/>
      </c>
    </row>
    <row r="9">
      <c r="A9" t="inlineStr">
        <is>
          <t>Ventana</t>
        </is>
      </c>
      <c r="B9">
        <f>IFERROR(VLOOKUP("ventana",CSV!$A:$B,2,FALSE),"")</f>
        <v/>
      </c>
      <c r="I9">
        <f>IF($H$2="",NA(),IF(INDEX(CSV!$A:$A,$H$2+8)="",NA(),INDEX(CSV!$A:$A,$H$2+8)*1))</f>
        <v/>
      </c>
      <c r="J9">
        <f>IF($H$2="",NA(),IF(INDEX(CSV!$B:$B,$H$2+8)="",NA(),INDEX(CSV!$B:$B,$H$2+8)*1))</f>
        <v/>
      </c>
      <c r="K9">
        <f>IF($H$2="",NA(),IF(INDEX(CSV!$C:$C,$H$2+8)="",NA(),INDEX(CSV!$C:$C,$H$2+8)*1))</f>
        <v/>
      </c>
    </row>
    <row r="10">
      <c r="I10">
        <f>IF($H$2="",NA(),IF(INDEX(CSV!$A:$A,$H$2+9)="",NA(),INDEX(CSV!$A:$A,$H$2+9)*1))</f>
        <v/>
      </c>
      <c r="J10">
        <f>IF($H$2="",NA(),IF(INDEX(CSV!$B:$B,$H$2+9)="",NA(),INDEX(CSV!$B:$B,$H$2+9)*1))</f>
        <v/>
      </c>
      <c r="K10">
        <f>IF($H$2="",NA(),IF(INDEX(CSV!$C:$C,$H$2+9)="",NA(),INDEX(CSV!$C:$C,$H$2+9)*1))</f>
        <v/>
      </c>
    </row>
    <row r="11">
      <c r="A11" s="3" t="inlineStr">
        <is>
          <t>Tus resultados</t>
        </is>
      </c>
      <c r="I11">
        <f>IF($H$2="",NA(),IF(INDEX(CSV!$A:$A,$H$2+10)="",NA(),INDEX(CSV!$A:$A,$H$2+10)*1))</f>
        <v/>
      </c>
      <c r="J11">
        <f>IF($H$2="",NA(),IF(INDEX(CSV!$B:$B,$H$2+10)="",NA(),INDEX(CSV!$B:$B,$H$2+10)*1))</f>
        <v/>
      </c>
      <c r="K11">
        <f>IF($H$2="",NA(),IF(INDEX(CSV!$C:$C,$H$2+10)="",NA(),INDEX(CSV!$C:$C,$H$2+10)*1))</f>
        <v/>
      </c>
    </row>
    <row r="12">
      <c r="A12" t="inlineStr">
        <is>
          <t>★ Incertidumbre tipo A, parte A (°C)</t>
        </is>
      </c>
      <c r="B12" s="4">
        <f>IFERROR(VLOOKUP("resultado:u_A",CSV!$A:$B,2,FALSE),"")</f>
        <v/>
      </c>
      <c r="I12">
        <f>IF($H$2="",NA(),IF(INDEX(CSV!$A:$A,$H$2+11)="",NA(),INDEX(CSV!$A:$A,$H$2+11)*1))</f>
        <v/>
      </c>
      <c r="J12">
        <f>IF($H$2="",NA(),IF(INDEX(CSV!$B:$B,$H$2+11)="",NA(),INDEX(CSV!$B:$B,$H$2+11)*1))</f>
        <v/>
      </c>
      <c r="K12">
        <f>IF($H$2="",NA(),IF(INDEX(CSV!$C:$C,$H$2+11)="",NA(),INDEX(CSV!$C:$C,$H$2+11)*1))</f>
        <v/>
      </c>
    </row>
    <row r="13">
      <c r="A13" t="inlineStr">
        <is>
          <t>Incertidumbre tipo B del fabricante (°C)</t>
        </is>
      </c>
      <c r="B13" s="4">
        <f>IFERROR(VLOOKUP("resultado:u_fab",CSV!$A:$B,2,FALSE),"")</f>
        <v/>
      </c>
      <c r="I13">
        <f>IF($H$2="",NA(),IF(INDEX(CSV!$A:$A,$H$2+12)="",NA(),INDEX(CSV!$A:$A,$H$2+12)*1))</f>
        <v/>
      </c>
      <c r="J13">
        <f>IF($H$2="",NA(),IF(INDEX(CSV!$B:$B,$H$2+12)="",NA(),INDEX(CSV!$B:$B,$H$2+12)*1))</f>
        <v/>
      </c>
      <c r="K13">
        <f>IF($H$2="",NA(),IF(INDEX(CSV!$C:$C,$H$2+12)="",NA(),INDEX(CSV!$C:$C,$H$2+12)*1))</f>
        <v/>
      </c>
    </row>
    <row r="14">
      <c r="A14" t="inlineStr">
        <is>
          <t>Incertidumbre combinada (°C)</t>
        </is>
      </c>
      <c r="B14" s="4">
        <f>IFERROR(VLOOKUP("resultado:u_c",CSV!$A:$B,2,FALSE),"")</f>
        <v/>
      </c>
      <c r="I14">
        <f>IF($H$2="",NA(),IF(INDEX(CSV!$A:$A,$H$2+13)="",NA(),INDEX(CSV!$A:$A,$H$2+13)*1))</f>
        <v/>
      </c>
      <c r="J14">
        <f>IF($H$2="",NA(),IF(INDEX(CSV!$B:$B,$H$2+13)="",NA(),INDEX(CSV!$B:$B,$H$2+13)*1))</f>
        <v/>
      </c>
      <c r="K14">
        <f>IF($H$2="",NA(),IF(INDEX(CSV!$C:$C,$H$2+13)="",NA(),INDEX(CSV!$C:$C,$H$2+13)*1))</f>
        <v/>
      </c>
    </row>
    <row r="15">
      <c r="A15" t="inlineStr">
        <is>
          <t>Incertidumbre expandida, k = 2 (°C)</t>
        </is>
      </c>
      <c r="B15" s="5">
        <f>IFERROR(VLOOKUP("resultado:U_exp",CSV!$A:$B,2,FALSE),"")</f>
        <v/>
      </c>
      <c r="I15">
        <f>IF($H$2="",NA(),IF(INDEX(CSV!$A:$A,$H$2+14)="",NA(),INDEX(CSV!$A:$A,$H$2+14)*1))</f>
        <v/>
      </c>
      <c r="J15">
        <f>IF($H$2="",NA(),IF(INDEX(CSV!$B:$B,$H$2+14)="",NA(),INDEX(CSV!$B:$B,$H$2+14)*1))</f>
        <v/>
      </c>
      <c r="K15">
        <f>IF($H$2="",NA(),IF(INDEX(CSV!$C:$C,$H$2+14)="",NA(),INDEX(CSV!$C:$C,$H$2+14)*1))</f>
        <v/>
      </c>
    </row>
    <row r="16">
      <c r="A16" t="inlineStr">
        <is>
          <t>Diferencia con la referencia, parte A (°C)</t>
        </is>
      </c>
      <c r="B16" s="5">
        <f>IFERROR(VLOOKUP("resultado:delta_C",CSV!$A:$B,2,FALSE),"")</f>
        <v/>
      </c>
      <c r="I16">
        <f>IF($H$2="",NA(),IF(INDEX(CSV!$A:$A,$H$2+15)="",NA(),INDEX(CSV!$A:$A,$H$2+15)*1))</f>
        <v/>
      </c>
      <c r="J16">
        <f>IF($H$2="",NA(),IF(INDEX(CSV!$B:$B,$H$2+15)="",NA(),INDEX(CSV!$B:$B,$H$2+15)*1))</f>
        <v/>
      </c>
      <c r="K16">
        <f>IF($H$2="",NA(),IF(INDEX(CSV!$C:$C,$H$2+15)="",NA(),INDEX(CSV!$C:$C,$H$2+15)*1))</f>
        <v/>
      </c>
    </row>
    <row r="17">
      <c r="A17" t="inlineStr">
        <is>
          <t>Incertidumbre tipo A de tu RC-5 (°C)</t>
        </is>
      </c>
      <c r="B17" s="4">
        <f>IFERROR(VLOOKUP("resultado:u_A_rc5",CSV!$A:$B,2,FALSE),"")</f>
        <v/>
      </c>
      <c r="I17">
        <f>IF($H$2="",NA(),IF(INDEX(CSV!$A:$A,$H$2+16)="",NA(),INDEX(CSV!$A:$A,$H$2+16)*1))</f>
        <v/>
      </c>
      <c r="J17">
        <f>IF($H$2="",NA(),IF(INDEX(CSV!$B:$B,$H$2+16)="",NA(),INDEX(CSV!$B:$B,$H$2+16)*1))</f>
        <v/>
      </c>
      <c r="K17">
        <f>IF($H$2="",NA(),IF(INDEX(CSV!$C:$C,$H$2+16)="",NA(),INDEX(CSV!$C:$C,$H$2+16)*1))</f>
        <v/>
      </c>
    </row>
    <row r="18">
      <c r="A18" t="inlineStr">
        <is>
          <t>Incertidumbre expandida de tu RC-5 (°C)</t>
        </is>
      </c>
      <c r="B18" s="5">
        <f>IFERROR(VLOOKUP("resultado:U_rc5",CSV!$A:$B,2,FALSE),"")</f>
        <v/>
      </c>
      <c r="I18">
        <f>IF($H$2="",NA(),IF(INDEX(CSV!$A:$A,$H$2+17)="",NA(),INDEX(CSV!$A:$A,$H$2+17)*1))</f>
        <v/>
      </c>
      <c r="J18">
        <f>IF($H$2="",NA(),IF(INDEX(CSV!$B:$B,$H$2+17)="",NA(),INDEX(CSV!$B:$B,$H$2+17)*1))</f>
        <v/>
      </c>
      <c r="K18">
        <f>IF($H$2="",NA(),IF(INDEX(CSV!$C:$C,$H$2+17)="",NA(),INDEX(CSV!$C:$C,$H$2+17)*1))</f>
        <v/>
      </c>
    </row>
    <row r="19">
      <c r="A19" t="inlineStr">
        <is>
          <t>Diferencia de tu RC-5 con la referencia (°C)</t>
        </is>
      </c>
      <c r="B19" s="5">
        <f>IFERROR(VLOOKUP("resultado:delta_rc5",CSV!$A:$B,2,FALSE),"")</f>
        <v/>
      </c>
      <c r="I19">
        <f>IF($H$2="",NA(),IF(INDEX(CSV!$A:$A,$H$2+18)="",NA(),INDEX(CSV!$A:$A,$H$2+18)*1))</f>
        <v/>
      </c>
      <c r="J19">
        <f>IF($H$2="",NA(),IF(INDEX(CSV!$B:$B,$H$2+18)="",NA(),INDEX(CSV!$B:$B,$H$2+18)*1))</f>
        <v/>
      </c>
      <c r="K19">
        <f>IF($H$2="",NA(),IF(INDEX(CSV!$C:$C,$H$2+18)="",NA(),INDEX(CSV!$C:$C,$H$2+18)*1))</f>
        <v/>
      </c>
    </row>
    <row r="20">
      <c r="I20">
        <f>IF($H$2="",NA(),IF(INDEX(CSV!$A:$A,$H$2+19)="",NA(),INDEX(CSV!$A:$A,$H$2+19)*1))</f>
        <v/>
      </c>
      <c r="J20">
        <f>IF($H$2="",NA(),IF(INDEX(CSV!$B:$B,$H$2+19)="",NA(),INDEX(CSV!$B:$B,$H$2+19)*1))</f>
        <v/>
      </c>
      <c r="K20">
        <f>IF($H$2="",NA(),IF(INDEX(CSV!$C:$C,$H$2+19)="",NA(),INDEX(CSV!$C:$C,$H$2+19)*1))</f>
        <v/>
      </c>
    </row>
    <row r="21">
      <c r="A21" s="3" t="inlineStr">
        <is>
          <t>Predicho contra obtenido</t>
        </is>
      </c>
      <c r="I21">
        <f>IF($H$2="",NA(),IF(INDEX(CSV!$A:$A,$H$2+20)="",NA(),INDEX(CSV!$A:$A,$H$2+20)*1))</f>
        <v/>
      </c>
      <c r="J21">
        <f>IF($H$2="",NA(),IF(INDEX(CSV!$B:$B,$H$2+20)="",NA(),INDEX(CSV!$B:$B,$H$2+20)*1))</f>
        <v/>
      </c>
      <c r="K21">
        <f>IF($H$2="",NA(),IF(INDEX(CSV!$C:$C,$H$2+20)="",NA(),INDEX(CSV!$C:$C,$H$2+20)*1))</f>
        <v/>
      </c>
    </row>
    <row r="22">
      <c r="A22" t="inlineStr">
        <is>
          <t>¿Tu RC-5 es compatible con la referencia? (|diferencia| ≤ U)</t>
        </is>
      </c>
      <c r="B22">
        <f>IF(OR(B18="",B19=""),"",IF(ABS(B19)&lt;=B18,"Sí","No"))</f>
        <v/>
      </c>
      <c r="I22">
        <f>IF($H$2="",NA(),IF(INDEX(CSV!$A:$A,$H$2+21)="",NA(),INDEX(CSV!$A:$A,$H$2+21)*1))</f>
        <v/>
      </c>
      <c r="J22">
        <f>IF($H$2="",NA(),IF(INDEX(CSV!$B:$B,$H$2+21)="",NA(),INDEX(CSV!$B:$B,$H$2+21)*1))</f>
        <v/>
      </c>
      <c r="K22">
        <f>IF($H$2="",NA(),IF(INDEX(CSV!$C:$C,$H$2+21)="",NA(),INDEX(CSV!$C:$C,$H$2+21)*1))</f>
        <v/>
      </c>
    </row>
    <row r="23">
      <c r="I23">
        <f>IF($H$2="",NA(),IF(INDEX(CSV!$A:$A,$H$2+22)="",NA(),INDEX(CSV!$A:$A,$H$2+22)*1))</f>
        <v/>
      </c>
      <c r="J23">
        <f>IF($H$2="",NA(),IF(INDEX(CSV!$B:$B,$H$2+22)="",NA(),INDEX(CSV!$B:$B,$H$2+22)*1))</f>
        <v/>
      </c>
      <c r="K23">
        <f>IF($H$2="",NA(),IF(INDEX(CSV!$C:$C,$H$2+22)="",NA(),INDEX(CSV!$C:$C,$H$2+22)*1))</f>
        <v/>
      </c>
    </row>
    <row r="24">
      <c r="A24" s="3" t="inlineStr">
        <is>
          <t>Preguntas del reporte ✎</t>
        </is>
      </c>
      <c r="I24">
        <f>IF($H$2="",NA(),IF(INDEX(CSV!$A:$A,$H$2+23)="",NA(),INDEX(CSV!$A:$A,$H$2+23)*1))</f>
        <v/>
      </c>
      <c r="J24">
        <f>IF($H$2="",NA(),IF(INDEX(CSV!$B:$B,$H$2+23)="",NA(),INDEX(CSV!$B:$B,$H$2+23)*1))</f>
        <v/>
      </c>
      <c r="K24">
        <f>IF($H$2="",NA(),IF(INDEX(CSV!$C:$C,$H$2+23)="",NA(),INDEX(CSV!$C:$C,$H$2+23)*1))</f>
        <v/>
      </c>
    </row>
    <row r="25" ht="75" customHeight="1">
      <c r="A25" s="6" t="inlineStr">
        <is>
          <t>1. ¿Qué pesa más en la incertidumbre de tu RC-5, el ruido de las lecturas o la exactitud del fabricante? Usa tus números.</t>
        </is>
      </c>
      <c r="B25" s="7" t="n"/>
      <c r="I25">
        <f>IF($H$2="",NA(),IF(INDEX(CSV!$A:$A,$H$2+24)="",NA(),INDEX(CSV!$A:$A,$H$2+24)*1))</f>
        <v/>
      </c>
      <c r="J25">
        <f>IF($H$2="",NA(),IF(INDEX(CSV!$B:$B,$H$2+24)="",NA(),INDEX(CSV!$B:$B,$H$2+24)*1))</f>
        <v/>
      </c>
      <c r="K25">
        <f>IF($H$2="",NA(),IF(INDEX(CSV!$C:$C,$H$2+24)="",NA(),INDEX(CSV!$C:$C,$H$2+24)*1))</f>
        <v/>
      </c>
    </row>
    <row r="26" ht="75" customHeight="1">
      <c r="A26" s="6" t="inlineStr">
        <is>
          <t>2. Si tu RC-5 no fuera compatible, ¿qué harías antes de usarlo en una auditoría?</t>
        </is>
      </c>
      <c r="B26" s="7" t="n"/>
      <c r="I26">
        <f>IF($H$2="",NA(),IF(INDEX(CSV!$A:$A,$H$2+25)="",NA(),INDEX(CSV!$A:$A,$H$2+25)*1))</f>
        <v/>
      </c>
      <c r="J26">
        <f>IF($H$2="",NA(),IF(INDEX(CSV!$B:$B,$H$2+25)="",NA(),INDEX(CSV!$B:$B,$H$2+25)*1))</f>
        <v/>
      </c>
      <c r="K26">
        <f>IF($H$2="",NA(),IF(INDEX(CSV!$C:$C,$H$2+25)="",NA(),INDEX(CSV!$C:$C,$H$2+25)*1))</f>
        <v/>
      </c>
    </row>
    <row r="27">
      <c r="I27">
        <f>IF($H$2="",NA(),IF(INDEX(CSV!$A:$A,$H$2+26)="",NA(),INDEX(CSV!$A:$A,$H$2+26)*1))</f>
        <v/>
      </c>
      <c r="J27">
        <f>IF($H$2="",NA(),IF(INDEX(CSV!$B:$B,$H$2+26)="",NA(),INDEX(CSV!$B:$B,$H$2+26)*1))</f>
        <v/>
      </c>
      <c r="K27">
        <f>IF($H$2="",NA(),IF(INDEX(CSV!$C:$C,$H$2+26)="",NA(),INDEX(CSV!$C:$C,$H$2+26)*1))</f>
        <v/>
      </c>
    </row>
    <row r="28">
      <c r="A28" s="2" t="inlineStr">
        <is>
          <t>La gráfica se arma sola al importar tu CSV. Cambia su título por tu nombre (doble clic en el título); la leyenda ya lo toma de B1.</t>
        </is>
      </c>
      <c r="I28">
        <f>IF($H$2="",NA(),IF(INDEX(CSV!$A:$A,$H$2+27)="",NA(),INDEX(CSV!$A:$A,$H$2+27)*1))</f>
        <v/>
      </c>
      <c r="J28">
        <f>IF($H$2="",NA(),IF(INDEX(CSV!$B:$B,$H$2+27)="",NA(),INDEX(CSV!$B:$B,$H$2+27)*1))</f>
        <v/>
      </c>
      <c r="K28">
        <f>IF($H$2="",NA(),IF(INDEX(CSV!$C:$C,$H$2+27)="",NA(),INDEX(CSV!$C:$C,$H$2+27)*1))</f>
        <v/>
      </c>
    </row>
    <row r="29">
      <c r="I29">
        <f>IF($H$2="",NA(),IF(INDEX(CSV!$A:$A,$H$2+28)="",NA(),INDEX(CSV!$A:$A,$H$2+28)*1))</f>
        <v/>
      </c>
      <c r="J29">
        <f>IF($H$2="",NA(),IF(INDEX(CSV!$B:$B,$H$2+28)="",NA(),INDEX(CSV!$B:$B,$H$2+28)*1))</f>
        <v/>
      </c>
      <c r="K29">
        <f>IF($H$2="",NA(),IF(INDEX(CSV!$C:$C,$H$2+28)="",NA(),INDEX(CSV!$C:$C,$H$2+28)*1))</f>
        <v/>
      </c>
    </row>
    <row r="30">
      <c r="I30">
        <f>IF($H$2="",NA(),IF(INDEX(CSV!$A:$A,$H$2+29)="",NA(),INDEX(CSV!$A:$A,$H$2+29)*1))</f>
        <v/>
      </c>
      <c r="J30">
        <f>IF($H$2="",NA(),IF(INDEX(CSV!$B:$B,$H$2+29)="",NA(),INDEX(CSV!$B:$B,$H$2+29)*1))</f>
        <v/>
      </c>
      <c r="K30">
        <f>IF($H$2="",NA(),IF(INDEX(CSV!$C:$C,$H$2+29)="",NA(),INDEX(CSV!$C:$C,$H$2+29)*1))</f>
        <v/>
      </c>
    </row>
    <row r="31">
      <c r="I31">
        <f>IF($H$2="",NA(),IF(INDEX(CSV!$A:$A,$H$2+30)="",NA(),INDEX(CSV!$A:$A,$H$2+30)*1))</f>
        <v/>
      </c>
      <c r="J31">
        <f>IF($H$2="",NA(),IF(INDEX(CSV!$B:$B,$H$2+30)="",NA(),INDEX(CSV!$B:$B,$H$2+30)*1))</f>
        <v/>
      </c>
      <c r="K31">
        <f>IF($H$2="",NA(),IF(INDEX(CSV!$C:$C,$H$2+30)="",NA(),INDEX(CSV!$C:$C,$H$2+30)*1))</f>
        <v/>
      </c>
    </row>
    <row r="32">
      <c r="I32">
        <f>IF($H$2="",NA(),IF(INDEX(CSV!$A:$A,$H$2+31)="",NA(),INDEX(CSV!$A:$A,$H$2+31)*1))</f>
        <v/>
      </c>
      <c r="J32">
        <f>IF($H$2="",NA(),IF(INDEX(CSV!$B:$B,$H$2+31)="",NA(),INDEX(CSV!$B:$B,$H$2+31)*1))</f>
        <v/>
      </c>
      <c r="K32">
        <f>IF($H$2="",NA(),IF(INDEX(CSV!$C:$C,$H$2+31)="",NA(),INDEX(CSV!$C:$C,$H$2+31)*1))</f>
        <v/>
      </c>
    </row>
    <row r="33">
      <c r="I33">
        <f>IF($H$2="",NA(),IF(INDEX(CSV!$A:$A,$H$2+32)="",NA(),INDEX(CSV!$A:$A,$H$2+32)*1))</f>
        <v/>
      </c>
      <c r="J33">
        <f>IF($H$2="",NA(),IF(INDEX(CSV!$B:$B,$H$2+32)="",NA(),INDEX(CSV!$B:$B,$H$2+32)*1))</f>
        <v/>
      </c>
      <c r="K33">
        <f>IF($H$2="",NA(),IF(INDEX(CSV!$C:$C,$H$2+32)="",NA(),INDEX(CSV!$C:$C,$H$2+32)*1))</f>
        <v/>
      </c>
    </row>
    <row r="34">
      <c r="I34">
        <f>IF($H$2="",NA(),IF(INDEX(CSV!$A:$A,$H$2+33)="",NA(),INDEX(CSV!$A:$A,$H$2+33)*1))</f>
        <v/>
      </c>
      <c r="J34">
        <f>IF($H$2="",NA(),IF(INDEX(CSV!$B:$B,$H$2+33)="",NA(),INDEX(CSV!$B:$B,$H$2+33)*1))</f>
        <v/>
      </c>
      <c r="K34">
        <f>IF($H$2="",NA(),IF(INDEX(CSV!$C:$C,$H$2+33)="",NA(),INDEX(CSV!$C:$C,$H$2+33)*1))</f>
        <v/>
      </c>
    </row>
    <row r="35">
      <c r="I35">
        <f>IF($H$2="",NA(),IF(INDEX(CSV!$A:$A,$H$2+34)="",NA(),INDEX(CSV!$A:$A,$H$2+34)*1))</f>
        <v/>
      </c>
      <c r="J35">
        <f>IF($H$2="",NA(),IF(INDEX(CSV!$B:$B,$H$2+34)="",NA(),INDEX(CSV!$B:$B,$H$2+34)*1))</f>
        <v/>
      </c>
      <c r="K35">
        <f>IF($H$2="",NA(),IF(INDEX(CSV!$C:$C,$H$2+34)="",NA(),INDEX(CSV!$C:$C,$H$2+34)*1))</f>
        <v/>
      </c>
    </row>
    <row r="36">
      <c r="I36">
        <f>IF($H$2="",NA(),IF(INDEX(CSV!$A:$A,$H$2+35)="",NA(),INDEX(CSV!$A:$A,$H$2+35)*1))</f>
        <v/>
      </c>
      <c r="J36">
        <f>IF($H$2="",NA(),IF(INDEX(CSV!$B:$B,$H$2+35)="",NA(),INDEX(CSV!$B:$B,$H$2+35)*1))</f>
        <v/>
      </c>
      <c r="K36">
        <f>IF($H$2="",NA(),IF(INDEX(CSV!$C:$C,$H$2+35)="",NA(),INDEX(CSV!$C:$C,$H$2+35)*1))</f>
        <v/>
      </c>
    </row>
    <row r="37">
      <c r="I37">
        <f>IF($H$2="",NA(),IF(INDEX(CSV!$A:$A,$H$2+36)="",NA(),INDEX(CSV!$A:$A,$H$2+36)*1))</f>
        <v/>
      </c>
      <c r="J37">
        <f>IF($H$2="",NA(),IF(INDEX(CSV!$B:$B,$H$2+36)="",NA(),INDEX(CSV!$B:$B,$H$2+36)*1))</f>
        <v/>
      </c>
      <c r="K37">
        <f>IF($H$2="",NA(),IF(INDEX(CSV!$C:$C,$H$2+36)="",NA(),INDEX(CSV!$C:$C,$H$2+36)*1))</f>
        <v/>
      </c>
    </row>
    <row r="38">
      <c r="I38">
        <f>IF($H$2="",NA(),IF(INDEX(CSV!$A:$A,$H$2+37)="",NA(),INDEX(CSV!$A:$A,$H$2+37)*1))</f>
        <v/>
      </c>
      <c r="J38">
        <f>IF($H$2="",NA(),IF(INDEX(CSV!$B:$B,$H$2+37)="",NA(),INDEX(CSV!$B:$B,$H$2+37)*1))</f>
        <v/>
      </c>
      <c r="K38">
        <f>IF($H$2="",NA(),IF(INDEX(CSV!$C:$C,$H$2+37)="",NA(),INDEX(CSV!$C:$C,$H$2+37)*1))</f>
        <v/>
      </c>
    </row>
    <row r="39">
      <c r="I39">
        <f>IF($H$2="",NA(),IF(INDEX(CSV!$A:$A,$H$2+38)="",NA(),INDEX(CSV!$A:$A,$H$2+38)*1))</f>
        <v/>
      </c>
      <c r="J39">
        <f>IF($H$2="",NA(),IF(INDEX(CSV!$B:$B,$H$2+38)="",NA(),INDEX(CSV!$B:$B,$H$2+38)*1))</f>
        <v/>
      </c>
      <c r="K39">
        <f>IF($H$2="",NA(),IF(INDEX(CSV!$C:$C,$H$2+38)="",NA(),INDEX(CSV!$C:$C,$H$2+38)*1))</f>
        <v/>
      </c>
    </row>
    <row r="40">
      <c r="I40">
        <f>IF($H$2="",NA(),IF(INDEX(CSV!$A:$A,$H$2+39)="",NA(),INDEX(CSV!$A:$A,$H$2+39)*1))</f>
        <v/>
      </c>
      <c r="J40">
        <f>IF($H$2="",NA(),IF(INDEX(CSV!$B:$B,$H$2+39)="",NA(),INDEX(CSV!$B:$B,$H$2+39)*1))</f>
        <v/>
      </c>
      <c r="K40">
        <f>IF($H$2="",NA(),IF(INDEX(CSV!$C:$C,$H$2+39)="",NA(),INDEX(CSV!$C:$C,$H$2+39)*1))</f>
        <v/>
      </c>
    </row>
    <row r="41">
      <c r="I41">
        <f>IF($H$2="",NA(),IF(INDEX(CSV!$A:$A,$H$2+40)="",NA(),INDEX(CSV!$A:$A,$H$2+40)*1))</f>
        <v/>
      </c>
      <c r="J41">
        <f>IF($H$2="",NA(),IF(INDEX(CSV!$B:$B,$H$2+40)="",NA(),INDEX(CSV!$B:$B,$H$2+40)*1))</f>
        <v/>
      </c>
      <c r="K41">
        <f>IF($H$2="",NA(),IF(INDEX(CSV!$C:$C,$H$2+40)="",NA(),INDEX(CSV!$C:$C,$H$2+40)*1))</f>
        <v/>
      </c>
    </row>
    <row r="42">
      <c r="I42">
        <f>IF($H$2="",NA(),IF(INDEX(CSV!$A:$A,$H$2+41)="",NA(),INDEX(CSV!$A:$A,$H$2+41)*1))</f>
        <v/>
      </c>
      <c r="J42">
        <f>IF($H$2="",NA(),IF(INDEX(CSV!$B:$B,$H$2+41)="",NA(),INDEX(CSV!$B:$B,$H$2+41)*1))</f>
        <v/>
      </c>
      <c r="K42">
        <f>IF($H$2="",NA(),IF(INDEX(CSV!$C:$C,$H$2+41)="",NA(),INDEX(CSV!$C:$C,$H$2+41)*1))</f>
        <v/>
      </c>
    </row>
    <row r="43">
      <c r="I43">
        <f>IF($H$2="",NA(),IF(INDEX(CSV!$A:$A,$H$2+42)="",NA(),INDEX(CSV!$A:$A,$H$2+42)*1))</f>
        <v/>
      </c>
      <c r="J43">
        <f>IF($H$2="",NA(),IF(INDEX(CSV!$B:$B,$H$2+42)="",NA(),INDEX(CSV!$B:$B,$H$2+42)*1))</f>
        <v/>
      </c>
      <c r="K43">
        <f>IF($H$2="",NA(),IF(INDEX(CSV!$C:$C,$H$2+42)="",NA(),INDEX(CSV!$C:$C,$H$2+42)*1))</f>
        <v/>
      </c>
    </row>
    <row r="44">
      <c r="I44">
        <f>IF($H$2="",NA(),IF(INDEX(CSV!$A:$A,$H$2+43)="",NA(),INDEX(CSV!$A:$A,$H$2+43)*1))</f>
        <v/>
      </c>
      <c r="J44">
        <f>IF($H$2="",NA(),IF(INDEX(CSV!$B:$B,$H$2+43)="",NA(),INDEX(CSV!$B:$B,$H$2+43)*1))</f>
        <v/>
      </c>
      <c r="K44">
        <f>IF($H$2="",NA(),IF(INDEX(CSV!$C:$C,$H$2+43)="",NA(),INDEX(CSV!$C:$C,$H$2+43)*1))</f>
        <v/>
      </c>
    </row>
    <row r="45">
      <c r="I45">
        <f>IF($H$2="",NA(),IF(INDEX(CSV!$A:$A,$H$2+44)="",NA(),INDEX(CSV!$A:$A,$H$2+44)*1))</f>
        <v/>
      </c>
      <c r="J45">
        <f>IF($H$2="",NA(),IF(INDEX(CSV!$B:$B,$H$2+44)="",NA(),INDEX(CSV!$B:$B,$H$2+44)*1))</f>
        <v/>
      </c>
      <c r="K45">
        <f>IF($H$2="",NA(),IF(INDEX(CSV!$C:$C,$H$2+44)="",NA(),INDEX(CSV!$C:$C,$H$2+44)*1))</f>
        <v/>
      </c>
    </row>
    <row r="46">
      <c r="I46">
        <f>IF($H$2="",NA(),IF(INDEX(CSV!$A:$A,$H$2+45)="",NA(),INDEX(CSV!$A:$A,$H$2+45)*1))</f>
        <v/>
      </c>
      <c r="J46">
        <f>IF($H$2="",NA(),IF(INDEX(CSV!$B:$B,$H$2+45)="",NA(),INDEX(CSV!$B:$B,$H$2+45)*1))</f>
        <v/>
      </c>
      <c r="K46">
        <f>IF($H$2="",NA(),IF(INDEX(CSV!$C:$C,$H$2+45)="",NA(),INDEX(CSV!$C:$C,$H$2+45)*1))</f>
        <v/>
      </c>
    </row>
    <row r="47">
      <c r="I47">
        <f>IF($H$2="",NA(),IF(INDEX(CSV!$A:$A,$H$2+46)="",NA(),INDEX(CSV!$A:$A,$H$2+46)*1))</f>
        <v/>
      </c>
      <c r="J47">
        <f>IF($H$2="",NA(),IF(INDEX(CSV!$B:$B,$H$2+46)="",NA(),INDEX(CSV!$B:$B,$H$2+46)*1))</f>
        <v/>
      </c>
      <c r="K47">
        <f>IF($H$2="",NA(),IF(INDEX(CSV!$C:$C,$H$2+46)="",NA(),INDEX(CSV!$C:$C,$H$2+46)*1))</f>
        <v/>
      </c>
    </row>
    <row r="48">
      <c r="I48">
        <f>IF($H$2="",NA(),IF(INDEX(CSV!$A:$A,$H$2+47)="",NA(),INDEX(CSV!$A:$A,$H$2+47)*1))</f>
        <v/>
      </c>
      <c r="J48">
        <f>IF($H$2="",NA(),IF(INDEX(CSV!$B:$B,$H$2+47)="",NA(),INDEX(CSV!$B:$B,$H$2+47)*1))</f>
        <v/>
      </c>
      <c r="K48">
        <f>IF($H$2="",NA(),IF(INDEX(CSV!$C:$C,$H$2+47)="",NA(),INDEX(CSV!$C:$C,$H$2+47)*1))</f>
        <v/>
      </c>
    </row>
    <row r="49">
      <c r="I49">
        <f>IF($H$2="",NA(),IF(INDEX(CSV!$A:$A,$H$2+48)="",NA(),INDEX(CSV!$A:$A,$H$2+48)*1))</f>
        <v/>
      </c>
      <c r="J49">
        <f>IF($H$2="",NA(),IF(INDEX(CSV!$B:$B,$H$2+48)="",NA(),INDEX(CSV!$B:$B,$H$2+48)*1))</f>
        <v/>
      </c>
      <c r="K49">
        <f>IF($H$2="",NA(),IF(INDEX(CSV!$C:$C,$H$2+48)="",NA(),INDEX(CSV!$C:$C,$H$2+48)*1))</f>
        <v/>
      </c>
    </row>
    <row r="50">
      <c r="I50">
        <f>IF($H$2="",NA(),IF(INDEX(CSV!$A:$A,$H$2+49)="",NA(),INDEX(CSV!$A:$A,$H$2+49)*1))</f>
        <v/>
      </c>
      <c r="J50">
        <f>IF($H$2="",NA(),IF(INDEX(CSV!$B:$B,$H$2+49)="",NA(),INDEX(CSV!$B:$B,$H$2+49)*1))</f>
        <v/>
      </c>
      <c r="K50">
        <f>IF($H$2="",NA(),IF(INDEX(CSV!$C:$C,$H$2+49)="",NA(),INDEX(CSV!$C:$C,$H$2+49)*1))</f>
        <v/>
      </c>
    </row>
    <row r="51">
      <c r="I51">
        <f>IF($H$2="",NA(),IF(INDEX(CSV!$A:$A,$H$2+50)="",NA(),INDEX(CSV!$A:$A,$H$2+50)*1))</f>
        <v/>
      </c>
      <c r="J51">
        <f>IF($H$2="",NA(),IF(INDEX(CSV!$B:$B,$H$2+50)="",NA(),INDEX(CSV!$B:$B,$H$2+50)*1))</f>
        <v/>
      </c>
      <c r="K51">
        <f>IF($H$2="",NA(),IF(INDEX(CSV!$C:$C,$H$2+50)="",NA(),INDEX(CSV!$C:$C,$H$2+50)*1))</f>
        <v/>
      </c>
    </row>
    <row r="52">
      <c r="I52">
        <f>IF($H$2="",NA(),IF(INDEX(CSV!$A:$A,$H$2+51)="",NA(),INDEX(CSV!$A:$A,$H$2+51)*1))</f>
        <v/>
      </c>
      <c r="J52">
        <f>IF($H$2="",NA(),IF(INDEX(CSV!$B:$B,$H$2+51)="",NA(),INDEX(CSV!$B:$B,$H$2+51)*1))</f>
        <v/>
      </c>
      <c r="K52">
        <f>IF($H$2="",NA(),IF(INDEX(CSV!$C:$C,$H$2+51)="",NA(),INDEX(CSV!$C:$C,$H$2+51)*1))</f>
        <v/>
      </c>
    </row>
    <row r="53">
      <c r="I53">
        <f>IF($H$2="",NA(),IF(INDEX(CSV!$A:$A,$H$2+52)="",NA(),INDEX(CSV!$A:$A,$H$2+52)*1))</f>
        <v/>
      </c>
      <c r="J53">
        <f>IF($H$2="",NA(),IF(INDEX(CSV!$B:$B,$H$2+52)="",NA(),INDEX(CSV!$B:$B,$H$2+52)*1))</f>
        <v/>
      </c>
      <c r="K53">
        <f>IF($H$2="",NA(),IF(INDEX(CSV!$C:$C,$H$2+52)="",NA(),INDEX(CSV!$C:$C,$H$2+52)*1))</f>
        <v/>
      </c>
    </row>
    <row r="54">
      <c r="I54">
        <f>IF($H$2="",NA(),IF(INDEX(CSV!$A:$A,$H$2+53)="",NA(),INDEX(CSV!$A:$A,$H$2+53)*1))</f>
        <v/>
      </c>
      <c r="J54">
        <f>IF($H$2="",NA(),IF(INDEX(CSV!$B:$B,$H$2+53)="",NA(),INDEX(CSV!$B:$B,$H$2+53)*1))</f>
        <v/>
      </c>
      <c r="K54">
        <f>IF($H$2="",NA(),IF(INDEX(CSV!$C:$C,$H$2+53)="",NA(),INDEX(CSV!$C:$C,$H$2+53)*1))</f>
        <v/>
      </c>
    </row>
    <row r="55">
      <c r="I55">
        <f>IF($H$2="",NA(),IF(INDEX(CSV!$A:$A,$H$2+54)="",NA(),INDEX(CSV!$A:$A,$H$2+54)*1))</f>
        <v/>
      </c>
      <c r="J55">
        <f>IF($H$2="",NA(),IF(INDEX(CSV!$B:$B,$H$2+54)="",NA(),INDEX(CSV!$B:$B,$H$2+54)*1))</f>
        <v/>
      </c>
      <c r="K55">
        <f>IF($H$2="",NA(),IF(INDEX(CSV!$C:$C,$H$2+54)="",NA(),INDEX(CSV!$C:$C,$H$2+54)*1))</f>
        <v/>
      </c>
    </row>
    <row r="56">
      <c r="I56">
        <f>IF($H$2="",NA(),IF(INDEX(CSV!$A:$A,$H$2+55)="",NA(),INDEX(CSV!$A:$A,$H$2+55)*1))</f>
        <v/>
      </c>
      <c r="J56">
        <f>IF($H$2="",NA(),IF(INDEX(CSV!$B:$B,$H$2+55)="",NA(),INDEX(CSV!$B:$B,$H$2+55)*1))</f>
        <v/>
      </c>
      <c r="K56">
        <f>IF($H$2="",NA(),IF(INDEX(CSV!$C:$C,$H$2+55)="",NA(),INDEX(CSV!$C:$C,$H$2+55)*1))</f>
        <v/>
      </c>
    </row>
    <row r="57">
      <c r="I57">
        <f>IF($H$2="",NA(),IF(INDEX(CSV!$A:$A,$H$2+56)="",NA(),INDEX(CSV!$A:$A,$H$2+56)*1))</f>
        <v/>
      </c>
      <c r="J57">
        <f>IF($H$2="",NA(),IF(INDEX(CSV!$B:$B,$H$2+56)="",NA(),INDEX(CSV!$B:$B,$H$2+56)*1))</f>
        <v/>
      </c>
      <c r="K57">
        <f>IF($H$2="",NA(),IF(INDEX(CSV!$C:$C,$H$2+56)="",NA(),INDEX(CSV!$C:$C,$H$2+56)*1))</f>
        <v/>
      </c>
    </row>
    <row r="58">
      <c r="I58">
        <f>IF($H$2="",NA(),IF(INDEX(CSV!$A:$A,$H$2+57)="",NA(),INDEX(CSV!$A:$A,$H$2+57)*1))</f>
        <v/>
      </c>
      <c r="J58">
        <f>IF($H$2="",NA(),IF(INDEX(CSV!$B:$B,$H$2+57)="",NA(),INDEX(CSV!$B:$B,$H$2+57)*1))</f>
        <v/>
      </c>
      <c r="K58">
        <f>IF($H$2="",NA(),IF(INDEX(CSV!$C:$C,$H$2+57)="",NA(),INDEX(CSV!$C:$C,$H$2+57)*1))</f>
        <v/>
      </c>
    </row>
    <row r="59">
      <c r="I59">
        <f>IF($H$2="",NA(),IF(INDEX(CSV!$A:$A,$H$2+58)="",NA(),INDEX(CSV!$A:$A,$H$2+58)*1))</f>
        <v/>
      </c>
      <c r="J59">
        <f>IF($H$2="",NA(),IF(INDEX(CSV!$B:$B,$H$2+58)="",NA(),INDEX(CSV!$B:$B,$H$2+58)*1))</f>
        <v/>
      </c>
      <c r="K59">
        <f>IF($H$2="",NA(),IF(INDEX(CSV!$C:$C,$H$2+58)="",NA(),INDEX(CSV!$C:$C,$H$2+58)*1))</f>
        <v/>
      </c>
    </row>
    <row r="60">
      <c r="I60">
        <f>IF($H$2="",NA(),IF(INDEX(CSV!$A:$A,$H$2+59)="",NA(),INDEX(CSV!$A:$A,$H$2+59)*1))</f>
        <v/>
      </c>
      <c r="J60">
        <f>IF($H$2="",NA(),IF(INDEX(CSV!$B:$B,$H$2+59)="",NA(),INDEX(CSV!$B:$B,$H$2+59)*1))</f>
        <v/>
      </c>
      <c r="K60">
        <f>IF($H$2="",NA(),IF(INDEX(CSV!$C:$C,$H$2+59)="",NA(),INDEX(CSV!$C:$C,$H$2+59)*1))</f>
        <v/>
      </c>
    </row>
    <row r="61">
      <c r="I61">
        <f>IF($H$2="",NA(),IF(INDEX(CSV!$A:$A,$H$2+60)="",NA(),INDEX(CSV!$A:$A,$H$2+60)*1))</f>
        <v/>
      </c>
      <c r="J61">
        <f>IF($H$2="",NA(),IF(INDEX(CSV!$B:$B,$H$2+60)="",NA(),INDEX(CSV!$B:$B,$H$2+60)*1))</f>
        <v/>
      </c>
      <c r="K61">
        <f>IF($H$2="",NA(),IF(INDEX(CSV!$C:$C,$H$2+60)="",NA(),INDEX(CSV!$C:$C,$H$2+60)*1))</f>
        <v/>
      </c>
    </row>
    <row r="62">
      <c r="I62">
        <f>IF($H$2="",NA(),IF(INDEX(CSV!$A:$A,$H$2+61)="",NA(),INDEX(CSV!$A:$A,$H$2+61)*1))</f>
        <v/>
      </c>
      <c r="J62">
        <f>IF($H$2="",NA(),IF(INDEX(CSV!$B:$B,$H$2+61)="",NA(),INDEX(CSV!$B:$B,$H$2+61)*1))</f>
        <v/>
      </c>
      <c r="K62">
        <f>IF($H$2="",NA(),IF(INDEX(CSV!$C:$C,$H$2+61)="",NA(),INDEX(CSV!$C:$C,$H$2+61)*1))</f>
        <v/>
      </c>
    </row>
    <row r="63">
      <c r="I63">
        <f>IF($H$2="",NA(),IF(INDEX(CSV!$A:$A,$H$2+62)="",NA(),INDEX(CSV!$A:$A,$H$2+62)*1))</f>
        <v/>
      </c>
      <c r="J63">
        <f>IF($H$2="",NA(),IF(INDEX(CSV!$B:$B,$H$2+62)="",NA(),INDEX(CSV!$B:$B,$H$2+62)*1))</f>
        <v/>
      </c>
      <c r="K63">
        <f>IF($H$2="",NA(),IF(INDEX(CSV!$C:$C,$H$2+62)="",NA(),INDEX(CSV!$C:$C,$H$2+62)*1))</f>
        <v/>
      </c>
    </row>
    <row r="64">
      <c r="I64">
        <f>IF($H$2="",NA(),IF(INDEX(CSV!$A:$A,$H$2+63)="",NA(),INDEX(CSV!$A:$A,$H$2+63)*1))</f>
        <v/>
      </c>
      <c r="J64">
        <f>IF($H$2="",NA(),IF(INDEX(CSV!$B:$B,$H$2+63)="",NA(),INDEX(CSV!$B:$B,$H$2+63)*1))</f>
        <v/>
      </c>
      <c r="K64">
        <f>IF($H$2="",NA(),IF(INDEX(CSV!$C:$C,$H$2+63)="",NA(),INDEX(CSV!$C:$C,$H$2+63)*1))</f>
        <v/>
      </c>
    </row>
    <row r="65">
      <c r="I65">
        <f>IF($H$2="",NA(),IF(INDEX(CSV!$A:$A,$H$2+64)="",NA(),INDEX(CSV!$A:$A,$H$2+64)*1))</f>
        <v/>
      </c>
      <c r="J65">
        <f>IF($H$2="",NA(),IF(INDEX(CSV!$B:$B,$H$2+64)="",NA(),INDEX(CSV!$B:$B,$H$2+64)*1))</f>
        <v/>
      </c>
      <c r="K65">
        <f>IF($H$2="",NA(),IF(INDEX(CSV!$C:$C,$H$2+64)="",NA(),INDEX(CSV!$C:$C,$H$2+64)*1))</f>
        <v/>
      </c>
    </row>
    <row r="66">
      <c r="I66">
        <f>IF($H$2="",NA(),IF(INDEX(CSV!$A:$A,$H$2+65)="",NA(),INDEX(CSV!$A:$A,$H$2+65)*1))</f>
        <v/>
      </c>
      <c r="J66">
        <f>IF($H$2="",NA(),IF(INDEX(CSV!$B:$B,$H$2+65)="",NA(),INDEX(CSV!$B:$B,$H$2+65)*1))</f>
        <v/>
      </c>
      <c r="K66">
        <f>IF($H$2="",NA(),IF(INDEX(CSV!$C:$C,$H$2+65)="",NA(),INDEX(CSV!$C:$C,$H$2+65)*1))</f>
        <v/>
      </c>
    </row>
    <row r="67">
      <c r="I67">
        <f>IF($H$2="",NA(),IF(INDEX(CSV!$A:$A,$H$2+66)="",NA(),INDEX(CSV!$A:$A,$H$2+66)*1))</f>
        <v/>
      </c>
      <c r="J67">
        <f>IF($H$2="",NA(),IF(INDEX(CSV!$B:$B,$H$2+66)="",NA(),INDEX(CSV!$B:$B,$H$2+66)*1))</f>
        <v/>
      </c>
      <c r="K67">
        <f>IF($H$2="",NA(),IF(INDEX(CSV!$C:$C,$H$2+66)="",NA(),INDEX(CSV!$C:$C,$H$2+66)*1))</f>
        <v/>
      </c>
    </row>
    <row r="68">
      <c r="I68">
        <f>IF($H$2="",NA(),IF(INDEX(CSV!$A:$A,$H$2+67)="",NA(),INDEX(CSV!$A:$A,$H$2+67)*1))</f>
        <v/>
      </c>
      <c r="J68">
        <f>IF($H$2="",NA(),IF(INDEX(CSV!$B:$B,$H$2+67)="",NA(),INDEX(CSV!$B:$B,$H$2+67)*1))</f>
        <v/>
      </c>
      <c r="K68">
        <f>IF($H$2="",NA(),IF(INDEX(CSV!$C:$C,$H$2+67)="",NA(),INDEX(CSV!$C:$C,$H$2+67)*1))</f>
        <v/>
      </c>
    </row>
    <row r="69">
      <c r="I69">
        <f>IF($H$2="",NA(),IF(INDEX(CSV!$A:$A,$H$2+68)="",NA(),INDEX(CSV!$A:$A,$H$2+68)*1))</f>
        <v/>
      </c>
      <c r="J69">
        <f>IF($H$2="",NA(),IF(INDEX(CSV!$B:$B,$H$2+68)="",NA(),INDEX(CSV!$B:$B,$H$2+68)*1))</f>
        <v/>
      </c>
      <c r="K69">
        <f>IF($H$2="",NA(),IF(INDEX(CSV!$C:$C,$H$2+68)="",NA(),INDEX(CSV!$C:$C,$H$2+68)*1))</f>
        <v/>
      </c>
    </row>
    <row r="70">
      <c r="I70">
        <f>IF($H$2="",NA(),IF(INDEX(CSV!$A:$A,$H$2+69)="",NA(),INDEX(CSV!$A:$A,$H$2+69)*1))</f>
        <v/>
      </c>
      <c r="J70">
        <f>IF($H$2="",NA(),IF(INDEX(CSV!$B:$B,$H$2+69)="",NA(),INDEX(CSV!$B:$B,$H$2+69)*1))</f>
        <v/>
      </c>
      <c r="K70">
        <f>IF($H$2="",NA(),IF(INDEX(CSV!$C:$C,$H$2+69)="",NA(),INDEX(CSV!$C:$C,$H$2+69)*1))</f>
        <v/>
      </c>
    </row>
    <row r="71">
      <c r="I71">
        <f>IF($H$2="",NA(),IF(INDEX(CSV!$A:$A,$H$2+70)="",NA(),INDEX(CSV!$A:$A,$H$2+70)*1))</f>
        <v/>
      </c>
      <c r="J71">
        <f>IF($H$2="",NA(),IF(INDEX(CSV!$B:$B,$H$2+70)="",NA(),INDEX(CSV!$B:$B,$H$2+70)*1))</f>
        <v/>
      </c>
      <c r="K71">
        <f>IF($H$2="",NA(),IF(INDEX(CSV!$C:$C,$H$2+70)="",NA(),INDEX(CSV!$C:$C,$H$2+70)*1))</f>
        <v/>
      </c>
    </row>
    <row r="72">
      <c r="I72">
        <f>IF($H$2="",NA(),IF(INDEX(CSV!$A:$A,$H$2+71)="",NA(),INDEX(CSV!$A:$A,$H$2+71)*1))</f>
        <v/>
      </c>
      <c r="J72">
        <f>IF($H$2="",NA(),IF(INDEX(CSV!$B:$B,$H$2+71)="",NA(),INDEX(CSV!$B:$B,$H$2+71)*1))</f>
        <v/>
      </c>
      <c r="K72">
        <f>IF($H$2="",NA(),IF(INDEX(CSV!$C:$C,$H$2+71)="",NA(),INDEX(CSV!$C:$C,$H$2+71)*1))</f>
        <v/>
      </c>
    </row>
    <row r="73">
      <c r="I73">
        <f>IF($H$2="",NA(),IF(INDEX(CSV!$A:$A,$H$2+72)="",NA(),INDEX(CSV!$A:$A,$H$2+72)*1))</f>
        <v/>
      </c>
      <c r="J73">
        <f>IF($H$2="",NA(),IF(INDEX(CSV!$B:$B,$H$2+72)="",NA(),INDEX(CSV!$B:$B,$H$2+72)*1))</f>
        <v/>
      </c>
      <c r="K73">
        <f>IF($H$2="",NA(),IF(INDEX(CSV!$C:$C,$H$2+72)="",NA(),INDEX(CSV!$C:$C,$H$2+72)*1))</f>
        <v/>
      </c>
    </row>
    <row r="74">
      <c r="I74">
        <f>IF($H$2="",NA(),IF(INDEX(CSV!$A:$A,$H$2+73)="",NA(),INDEX(CSV!$A:$A,$H$2+73)*1))</f>
        <v/>
      </c>
      <c r="J74">
        <f>IF($H$2="",NA(),IF(INDEX(CSV!$B:$B,$H$2+73)="",NA(),INDEX(CSV!$B:$B,$H$2+73)*1))</f>
        <v/>
      </c>
      <c r="K74">
        <f>IF($H$2="",NA(),IF(INDEX(CSV!$C:$C,$H$2+73)="",NA(),INDEX(CSV!$C:$C,$H$2+73)*1))</f>
        <v/>
      </c>
    </row>
    <row r="75">
      <c r="I75">
        <f>IF($H$2="",NA(),IF(INDEX(CSV!$A:$A,$H$2+74)="",NA(),INDEX(CSV!$A:$A,$H$2+74)*1))</f>
        <v/>
      </c>
      <c r="J75">
        <f>IF($H$2="",NA(),IF(INDEX(CSV!$B:$B,$H$2+74)="",NA(),INDEX(CSV!$B:$B,$H$2+74)*1))</f>
        <v/>
      </c>
      <c r="K75">
        <f>IF($H$2="",NA(),IF(INDEX(CSV!$C:$C,$H$2+74)="",NA(),INDEX(CSV!$C:$C,$H$2+74)*1))</f>
        <v/>
      </c>
    </row>
    <row r="76">
      <c r="I76">
        <f>IF($H$2="",NA(),IF(INDEX(CSV!$A:$A,$H$2+75)="",NA(),INDEX(CSV!$A:$A,$H$2+75)*1))</f>
        <v/>
      </c>
      <c r="J76">
        <f>IF($H$2="",NA(),IF(INDEX(CSV!$B:$B,$H$2+75)="",NA(),INDEX(CSV!$B:$B,$H$2+75)*1))</f>
        <v/>
      </c>
      <c r="K76">
        <f>IF($H$2="",NA(),IF(INDEX(CSV!$C:$C,$H$2+75)="",NA(),INDEX(CSV!$C:$C,$H$2+75)*1))</f>
        <v/>
      </c>
    </row>
    <row r="77">
      <c r="I77">
        <f>IF($H$2="",NA(),IF(INDEX(CSV!$A:$A,$H$2+76)="",NA(),INDEX(CSV!$A:$A,$H$2+76)*1))</f>
        <v/>
      </c>
      <c r="J77">
        <f>IF($H$2="",NA(),IF(INDEX(CSV!$B:$B,$H$2+76)="",NA(),INDEX(CSV!$B:$B,$H$2+76)*1))</f>
        <v/>
      </c>
      <c r="K77">
        <f>IF($H$2="",NA(),IF(INDEX(CSV!$C:$C,$H$2+76)="",NA(),INDEX(CSV!$C:$C,$H$2+76)*1))</f>
        <v/>
      </c>
    </row>
    <row r="78">
      <c r="I78">
        <f>IF($H$2="",NA(),IF(INDEX(CSV!$A:$A,$H$2+77)="",NA(),INDEX(CSV!$A:$A,$H$2+77)*1))</f>
        <v/>
      </c>
      <c r="J78">
        <f>IF($H$2="",NA(),IF(INDEX(CSV!$B:$B,$H$2+77)="",NA(),INDEX(CSV!$B:$B,$H$2+77)*1))</f>
        <v/>
      </c>
      <c r="K78">
        <f>IF($H$2="",NA(),IF(INDEX(CSV!$C:$C,$H$2+77)="",NA(),INDEX(CSV!$C:$C,$H$2+77)*1))</f>
        <v/>
      </c>
    </row>
    <row r="79">
      <c r="I79">
        <f>IF($H$2="",NA(),IF(INDEX(CSV!$A:$A,$H$2+78)="",NA(),INDEX(CSV!$A:$A,$H$2+78)*1))</f>
        <v/>
      </c>
      <c r="J79">
        <f>IF($H$2="",NA(),IF(INDEX(CSV!$B:$B,$H$2+78)="",NA(),INDEX(CSV!$B:$B,$H$2+78)*1))</f>
        <v/>
      </c>
      <c r="K79">
        <f>IF($H$2="",NA(),IF(INDEX(CSV!$C:$C,$H$2+78)="",NA(),INDEX(CSV!$C:$C,$H$2+78)*1))</f>
        <v/>
      </c>
    </row>
    <row r="80">
      <c r="I80">
        <f>IF($H$2="",NA(),IF(INDEX(CSV!$A:$A,$H$2+79)="",NA(),INDEX(CSV!$A:$A,$H$2+79)*1))</f>
        <v/>
      </c>
      <c r="J80">
        <f>IF($H$2="",NA(),IF(INDEX(CSV!$B:$B,$H$2+79)="",NA(),INDEX(CSV!$B:$B,$H$2+79)*1))</f>
        <v/>
      </c>
      <c r="K80">
        <f>IF($H$2="",NA(),IF(INDEX(CSV!$C:$C,$H$2+79)="",NA(),INDEX(CSV!$C:$C,$H$2+79)*1))</f>
        <v/>
      </c>
    </row>
    <row r="81">
      <c r="I81">
        <f>IF($H$2="",NA(),IF(INDEX(CSV!$A:$A,$H$2+80)="",NA(),INDEX(CSV!$A:$A,$H$2+80)*1))</f>
        <v/>
      </c>
      <c r="J81">
        <f>IF($H$2="",NA(),IF(INDEX(CSV!$B:$B,$H$2+80)="",NA(),INDEX(CSV!$B:$B,$H$2+80)*1))</f>
        <v/>
      </c>
      <c r="K81">
        <f>IF($H$2="",NA(),IF(INDEX(CSV!$C:$C,$H$2+80)="",NA(),INDEX(CSV!$C:$C,$H$2+80)*1))</f>
        <v/>
      </c>
    </row>
    <row r="82">
      <c r="I82">
        <f>IF($H$2="",NA(),IF(INDEX(CSV!$A:$A,$H$2+81)="",NA(),INDEX(CSV!$A:$A,$H$2+81)*1))</f>
        <v/>
      </c>
      <c r="J82">
        <f>IF($H$2="",NA(),IF(INDEX(CSV!$B:$B,$H$2+81)="",NA(),INDEX(CSV!$B:$B,$H$2+81)*1))</f>
        <v/>
      </c>
      <c r="K82">
        <f>IF($H$2="",NA(),IF(INDEX(CSV!$C:$C,$H$2+81)="",NA(),INDEX(CSV!$C:$C,$H$2+81)*1))</f>
        <v/>
      </c>
    </row>
    <row r="83">
      <c r="I83">
        <f>IF($H$2="",NA(),IF(INDEX(CSV!$A:$A,$H$2+82)="",NA(),INDEX(CSV!$A:$A,$H$2+82)*1))</f>
        <v/>
      </c>
      <c r="J83">
        <f>IF($H$2="",NA(),IF(INDEX(CSV!$B:$B,$H$2+82)="",NA(),INDEX(CSV!$B:$B,$H$2+82)*1))</f>
        <v/>
      </c>
      <c r="K83">
        <f>IF($H$2="",NA(),IF(INDEX(CSV!$C:$C,$H$2+82)="",NA(),INDEX(CSV!$C:$C,$H$2+82)*1))</f>
        <v/>
      </c>
    </row>
    <row r="84">
      <c r="I84">
        <f>IF($H$2="",NA(),IF(INDEX(CSV!$A:$A,$H$2+83)="",NA(),INDEX(CSV!$A:$A,$H$2+83)*1))</f>
        <v/>
      </c>
      <c r="J84">
        <f>IF($H$2="",NA(),IF(INDEX(CSV!$B:$B,$H$2+83)="",NA(),INDEX(CSV!$B:$B,$H$2+83)*1))</f>
        <v/>
      </c>
      <c r="K84">
        <f>IF($H$2="",NA(),IF(INDEX(CSV!$C:$C,$H$2+83)="",NA(),INDEX(CSV!$C:$C,$H$2+83)*1))</f>
        <v/>
      </c>
    </row>
    <row r="85">
      <c r="I85">
        <f>IF($H$2="",NA(),IF(INDEX(CSV!$A:$A,$H$2+84)="",NA(),INDEX(CSV!$A:$A,$H$2+84)*1))</f>
        <v/>
      </c>
      <c r="J85">
        <f>IF($H$2="",NA(),IF(INDEX(CSV!$B:$B,$H$2+84)="",NA(),INDEX(CSV!$B:$B,$H$2+84)*1))</f>
        <v/>
      </c>
      <c r="K85">
        <f>IF($H$2="",NA(),IF(INDEX(CSV!$C:$C,$H$2+84)="",NA(),INDEX(CSV!$C:$C,$H$2+84)*1))</f>
        <v/>
      </c>
    </row>
    <row r="86">
      <c r="I86">
        <f>IF($H$2="",NA(),IF(INDEX(CSV!$A:$A,$H$2+85)="",NA(),INDEX(CSV!$A:$A,$H$2+85)*1))</f>
        <v/>
      </c>
      <c r="J86">
        <f>IF($H$2="",NA(),IF(INDEX(CSV!$B:$B,$H$2+85)="",NA(),INDEX(CSV!$B:$B,$H$2+85)*1))</f>
        <v/>
      </c>
      <c r="K86">
        <f>IF($H$2="",NA(),IF(INDEX(CSV!$C:$C,$H$2+85)="",NA(),INDEX(CSV!$C:$C,$H$2+85)*1))</f>
        <v/>
      </c>
    </row>
    <row r="87">
      <c r="I87">
        <f>IF($H$2="",NA(),IF(INDEX(CSV!$A:$A,$H$2+86)="",NA(),INDEX(CSV!$A:$A,$H$2+86)*1))</f>
        <v/>
      </c>
      <c r="J87">
        <f>IF($H$2="",NA(),IF(INDEX(CSV!$B:$B,$H$2+86)="",NA(),INDEX(CSV!$B:$B,$H$2+86)*1))</f>
        <v/>
      </c>
      <c r="K87">
        <f>IF($H$2="",NA(),IF(INDEX(CSV!$C:$C,$H$2+86)="",NA(),INDEX(CSV!$C:$C,$H$2+86)*1))</f>
        <v/>
      </c>
    </row>
    <row r="88">
      <c r="I88">
        <f>IF($H$2="",NA(),IF(INDEX(CSV!$A:$A,$H$2+87)="",NA(),INDEX(CSV!$A:$A,$H$2+87)*1))</f>
        <v/>
      </c>
      <c r="J88">
        <f>IF($H$2="",NA(),IF(INDEX(CSV!$B:$B,$H$2+87)="",NA(),INDEX(CSV!$B:$B,$H$2+87)*1))</f>
        <v/>
      </c>
      <c r="K88">
        <f>IF($H$2="",NA(),IF(INDEX(CSV!$C:$C,$H$2+87)="",NA(),INDEX(CSV!$C:$C,$H$2+87)*1))</f>
        <v/>
      </c>
    </row>
    <row r="89">
      <c r="I89">
        <f>IF($H$2="",NA(),IF(INDEX(CSV!$A:$A,$H$2+88)="",NA(),INDEX(CSV!$A:$A,$H$2+88)*1))</f>
        <v/>
      </c>
      <c r="J89">
        <f>IF($H$2="",NA(),IF(INDEX(CSV!$B:$B,$H$2+88)="",NA(),INDEX(CSV!$B:$B,$H$2+88)*1))</f>
        <v/>
      </c>
      <c r="K89">
        <f>IF($H$2="",NA(),IF(INDEX(CSV!$C:$C,$H$2+88)="",NA(),INDEX(CSV!$C:$C,$H$2+88)*1))</f>
        <v/>
      </c>
    </row>
    <row r="90">
      <c r="I90">
        <f>IF($H$2="",NA(),IF(INDEX(CSV!$A:$A,$H$2+89)="",NA(),INDEX(CSV!$A:$A,$H$2+89)*1))</f>
        <v/>
      </c>
      <c r="J90">
        <f>IF($H$2="",NA(),IF(INDEX(CSV!$B:$B,$H$2+89)="",NA(),INDEX(CSV!$B:$B,$H$2+89)*1))</f>
        <v/>
      </c>
      <c r="K90">
        <f>IF($H$2="",NA(),IF(INDEX(CSV!$C:$C,$H$2+89)="",NA(),INDEX(CSV!$C:$C,$H$2+89)*1))</f>
        <v/>
      </c>
    </row>
    <row r="91">
      <c r="I91">
        <f>IF($H$2="",NA(),IF(INDEX(CSV!$A:$A,$H$2+90)="",NA(),INDEX(CSV!$A:$A,$H$2+90)*1))</f>
        <v/>
      </c>
      <c r="J91">
        <f>IF($H$2="",NA(),IF(INDEX(CSV!$B:$B,$H$2+90)="",NA(),INDEX(CSV!$B:$B,$H$2+90)*1))</f>
        <v/>
      </c>
      <c r="K91">
        <f>IF($H$2="",NA(),IF(INDEX(CSV!$C:$C,$H$2+90)="",NA(),INDEX(CSV!$C:$C,$H$2+90)*1))</f>
        <v/>
      </c>
    </row>
    <row r="92">
      <c r="I92">
        <f>IF($H$2="",NA(),IF(INDEX(CSV!$A:$A,$H$2+91)="",NA(),INDEX(CSV!$A:$A,$H$2+91)*1))</f>
        <v/>
      </c>
      <c r="J92">
        <f>IF($H$2="",NA(),IF(INDEX(CSV!$B:$B,$H$2+91)="",NA(),INDEX(CSV!$B:$B,$H$2+91)*1))</f>
        <v/>
      </c>
      <c r="K92">
        <f>IF($H$2="",NA(),IF(INDEX(CSV!$C:$C,$H$2+91)="",NA(),INDEX(CSV!$C:$C,$H$2+91)*1))</f>
        <v/>
      </c>
    </row>
    <row r="93">
      <c r="I93">
        <f>IF($H$2="",NA(),IF(INDEX(CSV!$A:$A,$H$2+92)="",NA(),INDEX(CSV!$A:$A,$H$2+92)*1))</f>
        <v/>
      </c>
      <c r="J93">
        <f>IF($H$2="",NA(),IF(INDEX(CSV!$B:$B,$H$2+92)="",NA(),INDEX(CSV!$B:$B,$H$2+92)*1))</f>
        <v/>
      </c>
      <c r="K93">
        <f>IF($H$2="",NA(),IF(INDEX(CSV!$C:$C,$H$2+92)="",NA(),INDEX(CSV!$C:$C,$H$2+92)*1))</f>
        <v/>
      </c>
    </row>
    <row r="94">
      <c r="I94">
        <f>IF($H$2="",NA(),IF(INDEX(CSV!$A:$A,$H$2+93)="",NA(),INDEX(CSV!$A:$A,$H$2+93)*1))</f>
        <v/>
      </c>
      <c r="J94">
        <f>IF($H$2="",NA(),IF(INDEX(CSV!$B:$B,$H$2+93)="",NA(),INDEX(CSV!$B:$B,$H$2+93)*1))</f>
        <v/>
      </c>
      <c r="K94">
        <f>IF($H$2="",NA(),IF(INDEX(CSV!$C:$C,$H$2+93)="",NA(),INDEX(CSV!$C:$C,$H$2+93)*1))</f>
        <v/>
      </c>
    </row>
    <row r="95">
      <c r="I95">
        <f>IF($H$2="",NA(),IF(INDEX(CSV!$A:$A,$H$2+94)="",NA(),INDEX(CSV!$A:$A,$H$2+94)*1))</f>
        <v/>
      </c>
      <c r="J95">
        <f>IF($H$2="",NA(),IF(INDEX(CSV!$B:$B,$H$2+94)="",NA(),INDEX(CSV!$B:$B,$H$2+94)*1))</f>
        <v/>
      </c>
      <c r="K95">
        <f>IF($H$2="",NA(),IF(INDEX(CSV!$C:$C,$H$2+94)="",NA(),INDEX(CSV!$C:$C,$H$2+94)*1))</f>
        <v/>
      </c>
    </row>
    <row r="96">
      <c r="I96">
        <f>IF($H$2="",NA(),IF(INDEX(CSV!$A:$A,$H$2+95)="",NA(),INDEX(CSV!$A:$A,$H$2+95)*1))</f>
        <v/>
      </c>
      <c r="J96">
        <f>IF($H$2="",NA(),IF(INDEX(CSV!$B:$B,$H$2+95)="",NA(),INDEX(CSV!$B:$B,$H$2+95)*1))</f>
        <v/>
      </c>
      <c r="K96">
        <f>IF($H$2="",NA(),IF(INDEX(CSV!$C:$C,$H$2+95)="",NA(),INDEX(CSV!$C:$C,$H$2+95)*1))</f>
        <v/>
      </c>
    </row>
    <row r="97">
      <c r="I97">
        <f>IF($H$2="",NA(),IF(INDEX(CSV!$A:$A,$H$2+96)="",NA(),INDEX(CSV!$A:$A,$H$2+96)*1))</f>
        <v/>
      </c>
      <c r="J97">
        <f>IF($H$2="",NA(),IF(INDEX(CSV!$B:$B,$H$2+96)="",NA(),INDEX(CSV!$B:$B,$H$2+96)*1))</f>
        <v/>
      </c>
      <c r="K97">
        <f>IF($H$2="",NA(),IF(INDEX(CSV!$C:$C,$H$2+96)="",NA(),INDEX(CSV!$C:$C,$H$2+96)*1))</f>
        <v/>
      </c>
    </row>
    <row r="98">
      <c r="I98">
        <f>IF($H$2="",NA(),IF(INDEX(CSV!$A:$A,$H$2+97)="",NA(),INDEX(CSV!$A:$A,$H$2+97)*1))</f>
        <v/>
      </c>
      <c r="J98">
        <f>IF($H$2="",NA(),IF(INDEX(CSV!$B:$B,$H$2+97)="",NA(),INDEX(CSV!$B:$B,$H$2+97)*1))</f>
        <v/>
      </c>
      <c r="K98">
        <f>IF($H$2="",NA(),IF(INDEX(CSV!$C:$C,$H$2+97)="",NA(),INDEX(CSV!$C:$C,$H$2+97)*1))</f>
        <v/>
      </c>
    </row>
    <row r="99">
      <c r="I99">
        <f>IF($H$2="",NA(),IF(INDEX(CSV!$A:$A,$H$2+98)="",NA(),INDEX(CSV!$A:$A,$H$2+98)*1))</f>
        <v/>
      </c>
      <c r="J99">
        <f>IF($H$2="",NA(),IF(INDEX(CSV!$B:$B,$H$2+98)="",NA(),INDEX(CSV!$B:$B,$H$2+98)*1))</f>
        <v/>
      </c>
      <c r="K99">
        <f>IF($H$2="",NA(),IF(INDEX(CSV!$C:$C,$H$2+98)="",NA(),INDEX(CSV!$C:$C,$H$2+98)*1))</f>
        <v/>
      </c>
    </row>
    <row r="100">
      <c r="I100">
        <f>IF($H$2="",NA(),IF(INDEX(CSV!$A:$A,$H$2+99)="",NA(),INDEX(CSV!$A:$A,$H$2+99)*1))</f>
        <v/>
      </c>
      <c r="J100">
        <f>IF($H$2="",NA(),IF(INDEX(CSV!$B:$B,$H$2+99)="",NA(),INDEX(CSV!$B:$B,$H$2+99)*1))</f>
        <v/>
      </c>
      <c r="K100">
        <f>IF($H$2="",NA(),IF(INDEX(CSV!$C:$C,$H$2+99)="",NA(),INDEX(CSV!$C:$C,$H$2+99)*1))</f>
        <v/>
      </c>
    </row>
    <row r="101">
      <c r="I101">
        <f>IF($H$2="",NA(),IF(INDEX(CSV!$A:$A,$H$2+100)="",NA(),INDEX(CSV!$A:$A,$H$2+100)*1))</f>
        <v/>
      </c>
      <c r="J101">
        <f>IF($H$2="",NA(),IF(INDEX(CSV!$B:$B,$H$2+100)="",NA(),INDEX(CSV!$B:$B,$H$2+100)*1))</f>
        <v/>
      </c>
      <c r="K101">
        <f>IF($H$2="",NA(),IF(INDEX(CSV!$C:$C,$H$2+100)="",NA(),INDEX(CSV!$C:$C,$H$2+100)*1))</f>
        <v/>
      </c>
    </row>
    <row r="102">
      <c r="I102">
        <f>IF($H$2="",NA(),IF(INDEX(CSV!$A:$A,$H$2+101)="",NA(),INDEX(CSV!$A:$A,$H$2+101)*1))</f>
        <v/>
      </c>
      <c r="J102">
        <f>IF($H$2="",NA(),IF(INDEX(CSV!$B:$B,$H$2+101)="",NA(),INDEX(CSV!$B:$B,$H$2+101)*1))</f>
        <v/>
      </c>
      <c r="K102">
        <f>IF($H$2="",NA(),IF(INDEX(CSV!$C:$C,$H$2+101)="",NA(),INDEX(CSV!$C:$C,$H$2+101)*1))</f>
        <v/>
      </c>
    </row>
    <row r="103">
      <c r="I103">
        <f>IF($H$2="",NA(),IF(INDEX(CSV!$A:$A,$H$2+102)="",NA(),INDEX(CSV!$A:$A,$H$2+102)*1))</f>
        <v/>
      </c>
      <c r="J103">
        <f>IF($H$2="",NA(),IF(INDEX(CSV!$B:$B,$H$2+102)="",NA(),INDEX(CSV!$B:$B,$H$2+102)*1))</f>
        <v/>
      </c>
      <c r="K103">
        <f>IF($H$2="",NA(),IF(INDEX(CSV!$C:$C,$H$2+102)="",NA(),INDEX(CSV!$C:$C,$H$2+102)*1))</f>
        <v/>
      </c>
    </row>
    <row r="104">
      <c r="I104">
        <f>IF($H$2="",NA(),IF(INDEX(CSV!$A:$A,$H$2+103)="",NA(),INDEX(CSV!$A:$A,$H$2+103)*1))</f>
        <v/>
      </c>
      <c r="J104">
        <f>IF($H$2="",NA(),IF(INDEX(CSV!$B:$B,$H$2+103)="",NA(),INDEX(CSV!$B:$B,$H$2+103)*1))</f>
        <v/>
      </c>
      <c r="K104">
        <f>IF($H$2="",NA(),IF(INDEX(CSV!$C:$C,$H$2+103)="",NA(),INDEX(CSV!$C:$C,$H$2+103)*1))</f>
        <v/>
      </c>
    </row>
    <row r="105">
      <c r="I105">
        <f>IF($H$2="",NA(),IF(INDEX(CSV!$A:$A,$H$2+104)="",NA(),INDEX(CSV!$A:$A,$H$2+104)*1))</f>
        <v/>
      </c>
      <c r="J105">
        <f>IF($H$2="",NA(),IF(INDEX(CSV!$B:$B,$H$2+104)="",NA(),INDEX(CSV!$B:$B,$H$2+104)*1))</f>
        <v/>
      </c>
      <c r="K105">
        <f>IF($H$2="",NA(),IF(INDEX(CSV!$C:$C,$H$2+104)="",NA(),INDEX(CSV!$C:$C,$H$2+104)*1))</f>
        <v/>
      </c>
    </row>
    <row r="106">
      <c r="I106">
        <f>IF($H$2="",NA(),IF(INDEX(CSV!$A:$A,$H$2+105)="",NA(),INDEX(CSV!$A:$A,$H$2+105)*1))</f>
        <v/>
      </c>
      <c r="J106">
        <f>IF($H$2="",NA(),IF(INDEX(CSV!$B:$B,$H$2+105)="",NA(),INDEX(CSV!$B:$B,$H$2+105)*1))</f>
        <v/>
      </c>
      <c r="K106">
        <f>IF($H$2="",NA(),IF(INDEX(CSV!$C:$C,$H$2+105)="",NA(),INDEX(CSV!$C:$C,$H$2+105)*1))</f>
        <v/>
      </c>
    </row>
    <row r="107">
      <c r="I107">
        <f>IF($H$2="",NA(),IF(INDEX(CSV!$A:$A,$H$2+106)="",NA(),INDEX(CSV!$A:$A,$H$2+106)*1))</f>
        <v/>
      </c>
      <c r="J107">
        <f>IF($H$2="",NA(),IF(INDEX(CSV!$B:$B,$H$2+106)="",NA(),INDEX(CSV!$B:$B,$H$2+106)*1))</f>
        <v/>
      </c>
      <c r="K107">
        <f>IF($H$2="",NA(),IF(INDEX(CSV!$C:$C,$H$2+106)="",NA(),INDEX(CSV!$C:$C,$H$2+106)*1))</f>
        <v/>
      </c>
    </row>
    <row r="108">
      <c r="I108">
        <f>IF($H$2="",NA(),IF(INDEX(CSV!$A:$A,$H$2+107)="",NA(),INDEX(CSV!$A:$A,$H$2+107)*1))</f>
        <v/>
      </c>
      <c r="J108">
        <f>IF($H$2="",NA(),IF(INDEX(CSV!$B:$B,$H$2+107)="",NA(),INDEX(CSV!$B:$B,$H$2+107)*1))</f>
        <v/>
      </c>
      <c r="K108">
        <f>IF($H$2="",NA(),IF(INDEX(CSV!$C:$C,$H$2+107)="",NA(),INDEX(CSV!$C:$C,$H$2+107)*1))</f>
        <v/>
      </c>
    </row>
    <row r="109">
      <c r="I109">
        <f>IF($H$2="",NA(),IF(INDEX(CSV!$A:$A,$H$2+108)="",NA(),INDEX(CSV!$A:$A,$H$2+108)*1))</f>
        <v/>
      </c>
      <c r="J109">
        <f>IF($H$2="",NA(),IF(INDEX(CSV!$B:$B,$H$2+108)="",NA(),INDEX(CSV!$B:$B,$H$2+108)*1))</f>
        <v/>
      </c>
      <c r="K109">
        <f>IF($H$2="",NA(),IF(INDEX(CSV!$C:$C,$H$2+108)="",NA(),INDEX(CSV!$C:$C,$H$2+108)*1))</f>
        <v/>
      </c>
    </row>
    <row r="110">
      <c r="I110">
        <f>IF($H$2="",NA(),IF(INDEX(CSV!$A:$A,$H$2+109)="",NA(),INDEX(CSV!$A:$A,$H$2+109)*1))</f>
        <v/>
      </c>
      <c r="J110">
        <f>IF($H$2="",NA(),IF(INDEX(CSV!$B:$B,$H$2+109)="",NA(),INDEX(CSV!$B:$B,$H$2+109)*1))</f>
        <v/>
      </c>
      <c r="K110">
        <f>IF($H$2="",NA(),IF(INDEX(CSV!$C:$C,$H$2+109)="",NA(),INDEX(CSV!$C:$C,$H$2+109)*1))</f>
        <v/>
      </c>
    </row>
    <row r="111">
      <c r="I111">
        <f>IF($H$2="",NA(),IF(INDEX(CSV!$A:$A,$H$2+110)="",NA(),INDEX(CSV!$A:$A,$H$2+110)*1))</f>
        <v/>
      </c>
      <c r="J111">
        <f>IF($H$2="",NA(),IF(INDEX(CSV!$B:$B,$H$2+110)="",NA(),INDEX(CSV!$B:$B,$H$2+110)*1))</f>
        <v/>
      </c>
      <c r="K111">
        <f>IF($H$2="",NA(),IF(INDEX(CSV!$C:$C,$H$2+110)="",NA(),INDEX(CSV!$C:$C,$H$2+110)*1))</f>
        <v/>
      </c>
    </row>
    <row r="112">
      <c r="I112">
        <f>IF($H$2="",NA(),IF(INDEX(CSV!$A:$A,$H$2+111)="",NA(),INDEX(CSV!$A:$A,$H$2+111)*1))</f>
        <v/>
      </c>
      <c r="J112">
        <f>IF($H$2="",NA(),IF(INDEX(CSV!$B:$B,$H$2+111)="",NA(),INDEX(CSV!$B:$B,$H$2+111)*1))</f>
        <v/>
      </c>
      <c r="K112">
        <f>IF($H$2="",NA(),IF(INDEX(CSV!$C:$C,$H$2+111)="",NA(),INDEX(CSV!$C:$C,$H$2+111)*1))</f>
        <v/>
      </c>
    </row>
    <row r="113">
      <c r="I113">
        <f>IF($H$2="",NA(),IF(INDEX(CSV!$A:$A,$H$2+112)="",NA(),INDEX(CSV!$A:$A,$H$2+112)*1))</f>
        <v/>
      </c>
      <c r="J113">
        <f>IF($H$2="",NA(),IF(INDEX(CSV!$B:$B,$H$2+112)="",NA(),INDEX(CSV!$B:$B,$H$2+112)*1))</f>
        <v/>
      </c>
      <c r="K113">
        <f>IF($H$2="",NA(),IF(INDEX(CSV!$C:$C,$H$2+112)="",NA(),INDEX(CSV!$C:$C,$H$2+112)*1))</f>
        <v/>
      </c>
    </row>
    <row r="114">
      <c r="I114">
        <f>IF($H$2="",NA(),IF(INDEX(CSV!$A:$A,$H$2+113)="",NA(),INDEX(CSV!$A:$A,$H$2+113)*1))</f>
        <v/>
      </c>
      <c r="J114">
        <f>IF($H$2="",NA(),IF(INDEX(CSV!$B:$B,$H$2+113)="",NA(),INDEX(CSV!$B:$B,$H$2+113)*1))</f>
        <v/>
      </c>
      <c r="K114">
        <f>IF($H$2="",NA(),IF(INDEX(CSV!$C:$C,$H$2+113)="",NA(),INDEX(CSV!$C:$C,$H$2+113)*1))</f>
        <v/>
      </c>
    </row>
    <row r="115">
      <c r="I115">
        <f>IF($H$2="",NA(),IF(INDEX(CSV!$A:$A,$H$2+114)="",NA(),INDEX(CSV!$A:$A,$H$2+114)*1))</f>
        <v/>
      </c>
      <c r="J115">
        <f>IF($H$2="",NA(),IF(INDEX(CSV!$B:$B,$H$2+114)="",NA(),INDEX(CSV!$B:$B,$H$2+114)*1))</f>
        <v/>
      </c>
      <c r="K115">
        <f>IF($H$2="",NA(),IF(INDEX(CSV!$C:$C,$H$2+114)="",NA(),INDEX(CSV!$C:$C,$H$2+114)*1))</f>
        <v/>
      </c>
    </row>
    <row r="116">
      <c r="I116">
        <f>IF($H$2="",NA(),IF(INDEX(CSV!$A:$A,$H$2+115)="",NA(),INDEX(CSV!$A:$A,$H$2+115)*1))</f>
        <v/>
      </c>
      <c r="J116">
        <f>IF($H$2="",NA(),IF(INDEX(CSV!$B:$B,$H$2+115)="",NA(),INDEX(CSV!$B:$B,$H$2+115)*1))</f>
        <v/>
      </c>
      <c r="K116">
        <f>IF($H$2="",NA(),IF(INDEX(CSV!$C:$C,$H$2+115)="",NA(),INDEX(CSV!$C:$C,$H$2+115)*1))</f>
        <v/>
      </c>
    </row>
    <row r="117">
      <c r="I117">
        <f>IF($H$2="",NA(),IF(INDEX(CSV!$A:$A,$H$2+116)="",NA(),INDEX(CSV!$A:$A,$H$2+116)*1))</f>
        <v/>
      </c>
      <c r="J117">
        <f>IF($H$2="",NA(),IF(INDEX(CSV!$B:$B,$H$2+116)="",NA(),INDEX(CSV!$B:$B,$H$2+116)*1))</f>
        <v/>
      </c>
      <c r="K117">
        <f>IF($H$2="",NA(),IF(INDEX(CSV!$C:$C,$H$2+116)="",NA(),INDEX(CSV!$C:$C,$H$2+116)*1))</f>
        <v/>
      </c>
    </row>
    <row r="118">
      <c r="I118">
        <f>IF($H$2="",NA(),IF(INDEX(CSV!$A:$A,$H$2+117)="",NA(),INDEX(CSV!$A:$A,$H$2+117)*1))</f>
        <v/>
      </c>
      <c r="J118">
        <f>IF($H$2="",NA(),IF(INDEX(CSV!$B:$B,$H$2+117)="",NA(),INDEX(CSV!$B:$B,$H$2+117)*1))</f>
        <v/>
      </c>
      <c r="K118">
        <f>IF($H$2="",NA(),IF(INDEX(CSV!$C:$C,$H$2+117)="",NA(),INDEX(CSV!$C:$C,$H$2+117)*1))</f>
        <v/>
      </c>
    </row>
    <row r="119">
      <c r="I119">
        <f>IF($H$2="",NA(),IF(INDEX(CSV!$A:$A,$H$2+118)="",NA(),INDEX(CSV!$A:$A,$H$2+118)*1))</f>
        <v/>
      </c>
      <c r="J119">
        <f>IF($H$2="",NA(),IF(INDEX(CSV!$B:$B,$H$2+118)="",NA(),INDEX(CSV!$B:$B,$H$2+118)*1))</f>
        <v/>
      </c>
      <c r="K119">
        <f>IF($H$2="",NA(),IF(INDEX(CSV!$C:$C,$H$2+118)="",NA(),INDEX(CSV!$C:$C,$H$2+118)*1))</f>
        <v/>
      </c>
    </row>
    <row r="120">
      <c r="I120">
        <f>IF($H$2="",NA(),IF(INDEX(CSV!$A:$A,$H$2+119)="",NA(),INDEX(CSV!$A:$A,$H$2+119)*1))</f>
        <v/>
      </c>
      <c r="J120">
        <f>IF($H$2="",NA(),IF(INDEX(CSV!$B:$B,$H$2+119)="",NA(),INDEX(CSV!$B:$B,$H$2+119)*1))</f>
        <v/>
      </c>
      <c r="K120">
        <f>IF($H$2="",NA(),IF(INDEX(CSV!$C:$C,$H$2+119)="",NA(),INDEX(CSV!$C:$C,$H$2+119)*1))</f>
        <v/>
      </c>
    </row>
    <row r="121">
      <c r="I121">
        <f>IF($H$2="",NA(),IF(INDEX(CSV!$A:$A,$H$2+120)="",NA(),INDEX(CSV!$A:$A,$H$2+120)*1))</f>
        <v/>
      </c>
      <c r="J121">
        <f>IF($H$2="",NA(),IF(INDEX(CSV!$B:$B,$H$2+120)="",NA(),INDEX(CSV!$B:$B,$H$2+120)*1))</f>
        <v/>
      </c>
      <c r="K121">
        <f>IF($H$2="",NA(),IF(INDEX(CSV!$C:$C,$H$2+120)="",NA(),INDEX(CSV!$C:$C,$H$2+120)*1))</f>
        <v/>
      </c>
    </row>
    <row r="122">
      <c r="I122">
        <f>IF($H$2="",NA(),IF(INDEX(CSV!$A:$A,$H$2+121)="",NA(),INDEX(CSV!$A:$A,$H$2+121)*1))</f>
        <v/>
      </c>
      <c r="J122">
        <f>IF($H$2="",NA(),IF(INDEX(CSV!$B:$B,$H$2+121)="",NA(),INDEX(CSV!$B:$B,$H$2+121)*1))</f>
        <v/>
      </c>
      <c r="K122">
        <f>IF($H$2="",NA(),IF(INDEX(CSV!$C:$C,$H$2+121)="",NA(),INDEX(CSV!$C:$C,$H$2+121)*1))</f>
        <v/>
      </c>
    </row>
    <row r="123">
      <c r="I123">
        <f>IF($H$2="",NA(),IF(INDEX(CSV!$A:$A,$H$2+122)="",NA(),INDEX(CSV!$A:$A,$H$2+122)*1))</f>
        <v/>
      </c>
      <c r="J123">
        <f>IF($H$2="",NA(),IF(INDEX(CSV!$B:$B,$H$2+122)="",NA(),INDEX(CSV!$B:$B,$H$2+122)*1))</f>
        <v/>
      </c>
      <c r="K123">
        <f>IF($H$2="",NA(),IF(INDEX(CSV!$C:$C,$H$2+122)="",NA(),INDEX(CSV!$C:$C,$H$2+122)*1))</f>
        <v/>
      </c>
    </row>
    <row r="124">
      <c r="I124">
        <f>IF($H$2="",NA(),IF(INDEX(CSV!$A:$A,$H$2+123)="",NA(),INDEX(CSV!$A:$A,$H$2+123)*1))</f>
        <v/>
      </c>
      <c r="J124">
        <f>IF($H$2="",NA(),IF(INDEX(CSV!$B:$B,$H$2+123)="",NA(),INDEX(CSV!$B:$B,$H$2+123)*1))</f>
        <v/>
      </c>
      <c r="K124">
        <f>IF($H$2="",NA(),IF(INDEX(CSV!$C:$C,$H$2+123)="",NA(),INDEX(CSV!$C:$C,$H$2+123)*1))</f>
        <v/>
      </c>
    </row>
    <row r="125">
      <c r="I125">
        <f>IF($H$2="",NA(),IF(INDEX(CSV!$A:$A,$H$2+124)="",NA(),INDEX(CSV!$A:$A,$H$2+124)*1))</f>
        <v/>
      </c>
      <c r="J125">
        <f>IF($H$2="",NA(),IF(INDEX(CSV!$B:$B,$H$2+124)="",NA(),INDEX(CSV!$B:$B,$H$2+124)*1))</f>
        <v/>
      </c>
      <c r="K125">
        <f>IF($H$2="",NA(),IF(INDEX(CSV!$C:$C,$H$2+124)="",NA(),INDEX(CSV!$C:$C,$H$2+124)*1))</f>
        <v/>
      </c>
    </row>
    <row r="126">
      <c r="I126">
        <f>IF($H$2="",NA(),IF(INDEX(CSV!$A:$A,$H$2+125)="",NA(),INDEX(CSV!$A:$A,$H$2+125)*1))</f>
        <v/>
      </c>
      <c r="J126">
        <f>IF($H$2="",NA(),IF(INDEX(CSV!$B:$B,$H$2+125)="",NA(),INDEX(CSV!$B:$B,$H$2+125)*1))</f>
        <v/>
      </c>
      <c r="K126">
        <f>IF($H$2="",NA(),IF(INDEX(CSV!$C:$C,$H$2+125)="",NA(),INDEX(CSV!$C:$C,$H$2+125)*1))</f>
        <v/>
      </c>
    </row>
    <row r="127">
      <c r="I127">
        <f>IF($H$2="",NA(),IF(INDEX(CSV!$A:$A,$H$2+126)="",NA(),INDEX(CSV!$A:$A,$H$2+126)*1))</f>
        <v/>
      </c>
      <c r="J127">
        <f>IF($H$2="",NA(),IF(INDEX(CSV!$B:$B,$H$2+126)="",NA(),INDEX(CSV!$B:$B,$H$2+126)*1))</f>
        <v/>
      </c>
      <c r="K127">
        <f>IF($H$2="",NA(),IF(INDEX(CSV!$C:$C,$H$2+126)="",NA(),INDEX(CSV!$C:$C,$H$2+126)*1))</f>
        <v/>
      </c>
    </row>
    <row r="128">
      <c r="I128">
        <f>IF($H$2="",NA(),IF(INDEX(CSV!$A:$A,$H$2+127)="",NA(),INDEX(CSV!$A:$A,$H$2+127)*1))</f>
        <v/>
      </c>
      <c r="J128">
        <f>IF($H$2="",NA(),IF(INDEX(CSV!$B:$B,$H$2+127)="",NA(),INDEX(CSV!$B:$B,$H$2+127)*1))</f>
        <v/>
      </c>
      <c r="K128">
        <f>IF($H$2="",NA(),IF(INDEX(CSV!$C:$C,$H$2+127)="",NA(),INDEX(CSV!$C:$C,$H$2+127)*1))</f>
        <v/>
      </c>
    </row>
    <row r="129">
      <c r="I129">
        <f>IF($H$2="",NA(),IF(INDEX(CSV!$A:$A,$H$2+128)="",NA(),INDEX(CSV!$A:$A,$H$2+128)*1))</f>
        <v/>
      </c>
      <c r="J129">
        <f>IF($H$2="",NA(),IF(INDEX(CSV!$B:$B,$H$2+128)="",NA(),INDEX(CSV!$B:$B,$H$2+128)*1))</f>
        <v/>
      </c>
      <c r="K129">
        <f>IF($H$2="",NA(),IF(INDEX(CSV!$C:$C,$H$2+128)="",NA(),INDEX(CSV!$C:$C,$H$2+128)*1))</f>
        <v/>
      </c>
    </row>
    <row r="130">
      <c r="I130">
        <f>IF($H$2="",NA(),IF(INDEX(CSV!$A:$A,$H$2+129)="",NA(),INDEX(CSV!$A:$A,$H$2+129)*1))</f>
        <v/>
      </c>
      <c r="J130">
        <f>IF($H$2="",NA(),IF(INDEX(CSV!$B:$B,$H$2+129)="",NA(),INDEX(CSV!$B:$B,$H$2+129)*1))</f>
        <v/>
      </c>
      <c r="K130">
        <f>IF($H$2="",NA(),IF(INDEX(CSV!$C:$C,$H$2+129)="",NA(),INDEX(CSV!$C:$C,$H$2+129)*1))</f>
        <v/>
      </c>
    </row>
    <row r="131">
      <c r="I131">
        <f>IF($H$2="",NA(),IF(INDEX(CSV!$A:$A,$H$2+130)="",NA(),INDEX(CSV!$A:$A,$H$2+130)*1))</f>
        <v/>
      </c>
      <c r="J131">
        <f>IF($H$2="",NA(),IF(INDEX(CSV!$B:$B,$H$2+130)="",NA(),INDEX(CSV!$B:$B,$H$2+130)*1))</f>
        <v/>
      </c>
      <c r="K131">
        <f>IF($H$2="",NA(),IF(INDEX(CSV!$C:$C,$H$2+130)="",NA(),INDEX(CSV!$C:$C,$H$2+130)*1))</f>
        <v/>
      </c>
    </row>
    <row r="132">
      <c r="I132">
        <f>IF($H$2="",NA(),IF(INDEX(CSV!$A:$A,$H$2+131)="",NA(),INDEX(CSV!$A:$A,$H$2+131)*1))</f>
        <v/>
      </c>
      <c r="J132">
        <f>IF($H$2="",NA(),IF(INDEX(CSV!$B:$B,$H$2+131)="",NA(),INDEX(CSV!$B:$B,$H$2+131)*1))</f>
        <v/>
      </c>
      <c r="K132">
        <f>IF($H$2="",NA(),IF(INDEX(CSV!$C:$C,$H$2+131)="",NA(),INDEX(CSV!$C:$C,$H$2+131)*1))</f>
        <v/>
      </c>
    </row>
    <row r="133">
      <c r="I133">
        <f>IF($H$2="",NA(),IF(INDEX(CSV!$A:$A,$H$2+132)="",NA(),INDEX(CSV!$A:$A,$H$2+132)*1))</f>
        <v/>
      </c>
      <c r="J133">
        <f>IF($H$2="",NA(),IF(INDEX(CSV!$B:$B,$H$2+132)="",NA(),INDEX(CSV!$B:$B,$H$2+132)*1))</f>
        <v/>
      </c>
      <c r="K133">
        <f>IF($H$2="",NA(),IF(INDEX(CSV!$C:$C,$H$2+132)="",NA(),INDEX(CSV!$C:$C,$H$2+132)*1))</f>
        <v/>
      </c>
    </row>
    <row r="134">
      <c r="I134">
        <f>IF($H$2="",NA(),IF(INDEX(CSV!$A:$A,$H$2+133)="",NA(),INDEX(CSV!$A:$A,$H$2+133)*1))</f>
        <v/>
      </c>
      <c r="J134">
        <f>IF($H$2="",NA(),IF(INDEX(CSV!$B:$B,$H$2+133)="",NA(),INDEX(CSV!$B:$B,$H$2+133)*1))</f>
        <v/>
      </c>
      <c r="K134">
        <f>IF($H$2="",NA(),IF(INDEX(CSV!$C:$C,$H$2+133)="",NA(),INDEX(CSV!$C:$C,$H$2+133)*1))</f>
        <v/>
      </c>
    </row>
    <row r="135">
      <c r="I135">
        <f>IF($H$2="",NA(),IF(INDEX(CSV!$A:$A,$H$2+134)="",NA(),INDEX(CSV!$A:$A,$H$2+134)*1))</f>
        <v/>
      </c>
      <c r="J135">
        <f>IF($H$2="",NA(),IF(INDEX(CSV!$B:$B,$H$2+134)="",NA(),INDEX(CSV!$B:$B,$H$2+134)*1))</f>
        <v/>
      </c>
      <c r="K135">
        <f>IF($H$2="",NA(),IF(INDEX(CSV!$C:$C,$H$2+134)="",NA(),INDEX(CSV!$C:$C,$H$2+134)*1))</f>
        <v/>
      </c>
    </row>
    <row r="136">
      <c r="I136">
        <f>IF($H$2="",NA(),IF(INDEX(CSV!$A:$A,$H$2+135)="",NA(),INDEX(CSV!$A:$A,$H$2+135)*1))</f>
        <v/>
      </c>
      <c r="J136">
        <f>IF($H$2="",NA(),IF(INDEX(CSV!$B:$B,$H$2+135)="",NA(),INDEX(CSV!$B:$B,$H$2+135)*1))</f>
        <v/>
      </c>
      <c r="K136">
        <f>IF($H$2="",NA(),IF(INDEX(CSV!$C:$C,$H$2+135)="",NA(),INDEX(CSV!$C:$C,$H$2+135)*1))</f>
        <v/>
      </c>
    </row>
    <row r="137">
      <c r="I137">
        <f>IF($H$2="",NA(),IF(INDEX(CSV!$A:$A,$H$2+136)="",NA(),INDEX(CSV!$A:$A,$H$2+136)*1))</f>
        <v/>
      </c>
      <c r="J137">
        <f>IF($H$2="",NA(),IF(INDEX(CSV!$B:$B,$H$2+136)="",NA(),INDEX(CSV!$B:$B,$H$2+136)*1))</f>
        <v/>
      </c>
      <c r="K137">
        <f>IF($H$2="",NA(),IF(INDEX(CSV!$C:$C,$H$2+136)="",NA(),INDEX(CSV!$C:$C,$H$2+136)*1))</f>
        <v/>
      </c>
    </row>
    <row r="138">
      <c r="I138">
        <f>IF($H$2="",NA(),IF(INDEX(CSV!$A:$A,$H$2+137)="",NA(),INDEX(CSV!$A:$A,$H$2+137)*1))</f>
        <v/>
      </c>
      <c r="J138">
        <f>IF($H$2="",NA(),IF(INDEX(CSV!$B:$B,$H$2+137)="",NA(),INDEX(CSV!$B:$B,$H$2+137)*1))</f>
        <v/>
      </c>
      <c r="K138">
        <f>IF($H$2="",NA(),IF(INDEX(CSV!$C:$C,$H$2+137)="",NA(),INDEX(CSV!$C:$C,$H$2+137)*1))</f>
        <v/>
      </c>
    </row>
    <row r="139">
      <c r="I139">
        <f>IF($H$2="",NA(),IF(INDEX(CSV!$A:$A,$H$2+138)="",NA(),INDEX(CSV!$A:$A,$H$2+138)*1))</f>
        <v/>
      </c>
      <c r="J139">
        <f>IF($H$2="",NA(),IF(INDEX(CSV!$B:$B,$H$2+138)="",NA(),INDEX(CSV!$B:$B,$H$2+138)*1))</f>
        <v/>
      </c>
      <c r="K139">
        <f>IF($H$2="",NA(),IF(INDEX(CSV!$C:$C,$H$2+138)="",NA(),INDEX(CSV!$C:$C,$H$2+138)*1))</f>
        <v/>
      </c>
    </row>
    <row r="140">
      <c r="I140">
        <f>IF($H$2="",NA(),IF(INDEX(CSV!$A:$A,$H$2+139)="",NA(),INDEX(CSV!$A:$A,$H$2+139)*1))</f>
        <v/>
      </c>
      <c r="J140">
        <f>IF($H$2="",NA(),IF(INDEX(CSV!$B:$B,$H$2+139)="",NA(),INDEX(CSV!$B:$B,$H$2+139)*1))</f>
        <v/>
      </c>
      <c r="K140">
        <f>IF($H$2="",NA(),IF(INDEX(CSV!$C:$C,$H$2+139)="",NA(),INDEX(CSV!$C:$C,$H$2+139)*1))</f>
        <v/>
      </c>
    </row>
    <row r="141">
      <c r="I141">
        <f>IF($H$2="",NA(),IF(INDEX(CSV!$A:$A,$H$2+140)="",NA(),INDEX(CSV!$A:$A,$H$2+140)*1))</f>
        <v/>
      </c>
      <c r="J141">
        <f>IF($H$2="",NA(),IF(INDEX(CSV!$B:$B,$H$2+140)="",NA(),INDEX(CSV!$B:$B,$H$2+140)*1))</f>
        <v/>
      </c>
      <c r="K141">
        <f>IF($H$2="",NA(),IF(INDEX(CSV!$C:$C,$H$2+140)="",NA(),INDEX(CSV!$C:$C,$H$2+140)*1))</f>
        <v/>
      </c>
    </row>
    <row r="142">
      <c r="I142">
        <f>IF($H$2="",NA(),IF(INDEX(CSV!$A:$A,$H$2+141)="",NA(),INDEX(CSV!$A:$A,$H$2+141)*1))</f>
        <v/>
      </c>
      <c r="J142">
        <f>IF($H$2="",NA(),IF(INDEX(CSV!$B:$B,$H$2+141)="",NA(),INDEX(CSV!$B:$B,$H$2+141)*1))</f>
        <v/>
      </c>
      <c r="K142">
        <f>IF($H$2="",NA(),IF(INDEX(CSV!$C:$C,$H$2+141)="",NA(),INDEX(CSV!$C:$C,$H$2+141)*1))</f>
        <v/>
      </c>
    </row>
    <row r="143">
      <c r="I143">
        <f>IF($H$2="",NA(),IF(INDEX(CSV!$A:$A,$H$2+142)="",NA(),INDEX(CSV!$A:$A,$H$2+142)*1))</f>
        <v/>
      </c>
      <c r="J143">
        <f>IF($H$2="",NA(),IF(INDEX(CSV!$B:$B,$H$2+142)="",NA(),INDEX(CSV!$B:$B,$H$2+142)*1))</f>
        <v/>
      </c>
      <c r="K143">
        <f>IF($H$2="",NA(),IF(INDEX(CSV!$C:$C,$H$2+142)="",NA(),INDEX(CSV!$C:$C,$H$2+142)*1))</f>
        <v/>
      </c>
    </row>
    <row r="144">
      <c r="I144">
        <f>IF($H$2="",NA(),IF(INDEX(CSV!$A:$A,$H$2+143)="",NA(),INDEX(CSV!$A:$A,$H$2+143)*1))</f>
        <v/>
      </c>
      <c r="J144">
        <f>IF($H$2="",NA(),IF(INDEX(CSV!$B:$B,$H$2+143)="",NA(),INDEX(CSV!$B:$B,$H$2+143)*1))</f>
        <v/>
      </c>
      <c r="K144">
        <f>IF($H$2="",NA(),IF(INDEX(CSV!$C:$C,$H$2+143)="",NA(),INDEX(CSV!$C:$C,$H$2+143)*1))</f>
        <v/>
      </c>
    </row>
    <row r="145">
      <c r="I145">
        <f>IF($H$2="",NA(),IF(INDEX(CSV!$A:$A,$H$2+144)="",NA(),INDEX(CSV!$A:$A,$H$2+144)*1))</f>
        <v/>
      </c>
      <c r="J145">
        <f>IF($H$2="",NA(),IF(INDEX(CSV!$B:$B,$H$2+144)="",NA(),INDEX(CSV!$B:$B,$H$2+144)*1))</f>
        <v/>
      </c>
      <c r="K145">
        <f>IF($H$2="",NA(),IF(INDEX(CSV!$C:$C,$H$2+144)="",NA(),INDEX(CSV!$C:$C,$H$2+144)*1))</f>
        <v/>
      </c>
    </row>
    <row r="146">
      <c r="I146">
        <f>IF($H$2="",NA(),IF(INDEX(CSV!$A:$A,$H$2+145)="",NA(),INDEX(CSV!$A:$A,$H$2+145)*1))</f>
        <v/>
      </c>
      <c r="J146">
        <f>IF($H$2="",NA(),IF(INDEX(CSV!$B:$B,$H$2+145)="",NA(),INDEX(CSV!$B:$B,$H$2+145)*1))</f>
        <v/>
      </c>
      <c r="K146">
        <f>IF($H$2="",NA(),IF(INDEX(CSV!$C:$C,$H$2+145)="",NA(),INDEX(CSV!$C:$C,$H$2+145)*1))</f>
        <v/>
      </c>
    </row>
    <row r="147">
      <c r="I147">
        <f>IF($H$2="",NA(),IF(INDEX(CSV!$A:$A,$H$2+146)="",NA(),INDEX(CSV!$A:$A,$H$2+146)*1))</f>
        <v/>
      </c>
      <c r="J147">
        <f>IF($H$2="",NA(),IF(INDEX(CSV!$B:$B,$H$2+146)="",NA(),INDEX(CSV!$B:$B,$H$2+146)*1))</f>
        <v/>
      </c>
      <c r="K147">
        <f>IF($H$2="",NA(),IF(INDEX(CSV!$C:$C,$H$2+146)="",NA(),INDEX(CSV!$C:$C,$H$2+146)*1))</f>
        <v/>
      </c>
    </row>
    <row r="148">
      <c r="I148">
        <f>IF($H$2="",NA(),IF(INDEX(CSV!$A:$A,$H$2+147)="",NA(),INDEX(CSV!$A:$A,$H$2+147)*1))</f>
        <v/>
      </c>
      <c r="J148">
        <f>IF($H$2="",NA(),IF(INDEX(CSV!$B:$B,$H$2+147)="",NA(),INDEX(CSV!$B:$B,$H$2+147)*1))</f>
        <v/>
      </c>
      <c r="K148">
        <f>IF($H$2="",NA(),IF(INDEX(CSV!$C:$C,$H$2+147)="",NA(),INDEX(CSV!$C:$C,$H$2+147)*1))</f>
        <v/>
      </c>
    </row>
    <row r="149">
      <c r="I149">
        <f>IF($H$2="",NA(),IF(INDEX(CSV!$A:$A,$H$2+148)="",NA(),INDEX(CSV!$A:$A,$H$2+148)*1))</f>
        <v/>
      </c>
      <c r="J149">
        <f>IF($H$2="",NA(),IF(INDEX(CSV!$B:$B,$H$2+148)="",NA(),INDEX(CSV!$B:$B,$H$2+148)*1))</f>
        <v/>
      </c>
      <c r="K149">
        <f>IF($H$2="",NA(),IF(INDEX(CSV!$C:$C,$H$2+148)="",NA(),INDEX(CSV!$C:$C,$H$2+148)*1))</f>
        <v/>
      </c>
    </row>
    <row r="150">
      <c r="I150">
        <f>IF($H$2="",NA(),IF(INDEX(CSV!$A:$A,$H$2+149)="",NA(),INDEX(CSV!$A:$A,$H$2+149)*1))</f>
        <v/>
      </c>
      <c r="J150">
        <f>IF($H$2="",NA(),IF(INDEX(CSV!$B:$B,$H$2+149)="",NA(),INDEX(CSV!$B:$B,$H$2+149)*1))</f>
        <v/>
      </c>
      <c r="K150">
        <f>IF($H$2="",NA(),IF(INDEX(CSV!$C:$C,$H$2+149)="",NA(),INDEX(CSV!$C:$C,$H$2+149)*1))</f>
        <v/>
      </c>
    </row>
    <row r="151">
      <c r="I151">
        <f>IF($H$2="",NA(),IF(INDEX(CSV!$A:$A,$H$2+150)="",NA(),INDEX(CSV!$A:$A,$H$2+150)*1))</f>
        <v/>
      </c>
      <c r="J151">
        <f>IF($H$2="",NA(),IF(INDEX(CSV!$B:$B,$H$2+150)="",NA(),INDEX(CSV!$B:$B,$H$2+150)*1))</f>
        <v/>
      </c>
      <c r="K151">
        <f>IF($H$2="",NA(),IF(INDEX(CSV!$C:$C,$H$2+150)="",NA(),INDEX(CSV!$C:$C,$H$2+150)*1))</f>
        <v/>
      </c>
    </row>
    <row r="152">
      <c r="I152">
        <f>IF($H$2="",NA(),IF(INDEX(CSV!$A:$A,$H$2+151)="",NA(),INDEX(CSV!$A:$A,$H$2+151)*1))</f>
        <v/>
      </c>
      <c r="J152">
        <f>IF($H$2="",NA(),IF(INDEX(CSV!$B:$B,$H$2+151)="",NA(),INDEX(CSV!$B:$B,$H$2+151)*1))</f>
        <v/>
      </c>
      <c r="K152">
        <f>IF($H$2="",NA(),IF(INDEX(CSV!$C:$C,$H$2+151)="",NA(),INDEX(CSV!$C:$C,$H$2+151)*1))</f>
        <v/>
      </c>
    </row>
    <row r="153">
      <c r="I153">
        <f>IF($H$2="",NA(),IF(INDEX(CSV!$A:$A,$H$2+152)="",NA(),INDEX(CSV!$A:$A,$H$2+152)*1))</f>
        <v/>
      </c>
      <c r="J153">
        <f>IF($H$2="",NA(),IF(INDEX(CSV!$B:$B,$H$2+152)="",NA(),INDEX(CSV!$B:$B,$H$2+152)*1))</f>
        <v/>
      </c>
      <c r="K153">
        <f>IF($H$2="",NA(),IF(INDEX(CSV!$C:$C,$H$2+152)="",NA(),INDEX(CSV!$C:$C,$H$2+152)*1))</f>
        <v/>
      </c>
    </row>
    <row r="154">
      <c r="I154">
        <f>IF($H$2="",NA(),IF(INDEX(CSV!$A:$A,$H$2+153)="",NA(),INDEX(CSV!$A:$A,$H$2+153)*1))</f>
        <v/>
      </c>
      <c r="J154">
        <f>IF($H$2="",NA(),IF(INDEX(CSV!$B:$B,$H$2+153)="",NA(),INDEX(CSV!$B:$B,$H$2+153)*1))</f>
        <v/>
      </c>
      <c r="K154">
        <f>IF($H$2="",NA(),IF(INDEX(CSV!$C:$C,$H$2+153)="",NA(),INDEX(CSV!$C:$C,$H$2+153)*1))</f>
        <v/>
      </c>
    </row>
    <row r="155">
      <c r="I155">
        <f>IF($H$2="",NA(),IF(INDEX(CSV!$A:$A,$H$2+154)="",NA(),INDEX(CSV!$A:$A,$H$2+154)*1))</f>
        <v/>
      </c>
      <c r="J155">
        <f>IF($H$2="",NA(),IF(INDEX(CSV!$B:$B,$H$2+154)="",NA(),INDEX(CSV!$B:$B,$H$2+154)*1))</f>
        <v/>
      </c>
      <c r="K155">
        <f>IF($H$2="",NA(),IF(INDEX(CSV!$C:$C,$H$2+154)="",NA(),INDEX(CSV!$C:$C,$H$2+154)*1))</f>
        <v/>
      </c>
    </row>
    <row r="156">
      <c r="I156">
        <f>IF($H$2="",NA(),IF(INDEX(CSV!$A:$A,$H$2+155)="",NA(),INDEX(CSV!$A:$A,$H$2+155)*1))</f>
        <v/>
      </c>
      <c r="J156">
        <f>IF($H$2="",NA(),IF(INDEX(CSV!$B:$B,$H$2+155)="",NA(),INDEX(CSV!$B:$B,$H$2+155)*1))</f>
        <v/>
      </c>
      <c r="K156">
        <f>IF($H$2="",NA(),IF(INDEX(CSV!$C:$C,$H$2+155)="",NA(),INDEX(CSV!$C:$C,$H$2+155)*1))</f>
        <v/>
      </c>
    </row>
    <row r="157">
      <c r="I157">
        <f>IF($H$2="",NA(),IF(INDEX(CSV!$A:$A,$H$2+156)="",NA(),INDEX(CSV!$A:$A,$H$2+156)*1))</f>
        <v/>
      </c>
      <c r="J157">
        <f>IF($H$2="",NA(),IF(INDEX(CSV!$B:$B,$H$2+156)="",NA(),INDEX(CSV!$B:$B,$H$2+156)*1))</f>
        <v/>
      </c>
      <c r="K157">
        <f>IF($H$2="",NA(),IF(INDEX(CSV!$C:$C,$H$2+156)="",NA(),INDEX(CSV!$C:$C,$H$2+156)*1))</f>
        <v/>
      </c>
    </row>
    <row r="158">
      <c r="I158">
        <f>IF($H$2="",NA(),IF(INDEX(CSV!$A:$A,$H$2+157)="",NA(),INDEX(CSV!$A:$A,$H$2+157)*1))</f>
        <v/>
      </c>
      <c r="J158">
        <f>IF($H$2="",NA(),IF(INDEX(CSV!$B:$B,$H$2+157)="",NA(),INDEX(CSV!$B:$B,$H$2+157)*1))</f>
        <v/>
      </c>
      <c r="K158">
        <f>IF($H$2="",NA(),IF(INDEX(CSV!$C:$C,$H$2+157)="",NA(),INDEX(CSV!$C:$C,$H$2+157)*1))</f>
        <v/>
      </c>
    </row>
    <row r="159">
      <c r="I159">
        <f>IF($H$2="",NA(),IF(INDEX(CSV!$A:$A,$H$2+158)="",NA(),INDEX(CSV!$A:$A,$H$2+158)*1))</f>
        <v/>
      </c>
      <c r="J159">
        <f>IF($H$2="",NA(),IF(INDEX(CSV!$B:$B,$H$2+158)="",NA(),INDEX(CSV!$B:$B,$H$2+158)*1))</f>
        <v/>
      </c>
      <c r="K159">
        <f>IF($H$2="",NA(),IF(INDEX(CSV!$C:$C,$H$2+158)="",NA(),INDEX(CSV!$C:$C,$H$2+158)*1))</f>
        <v/>
      </c>
    </row>
    <row r="160">
      <c r="I160">
        <f>IF($H$2="",NA(),IF(INDEX(CSV!$A:$A,$H$2+159)="",NA(),INDEX(CSV!$A:$A,$H$2+159)*1))</f>
        <v/>
      </c>
      <c r="J160">
        <f>IF($H$2="",NA(),IF(INDEX(CSV!$B:$B,$H$2+159)="",NA(),INDEX(CSV!$B:$B,$H$2+159)*1))</f>
        <v/>
      </c>
      <c r="K160">
        <f>IF($H$2="",NA(),IF(INDEX(CSV!$C:$C,$H$2+159)="",NA(),INDEX(CSV!$C:$C,$H$2+159)*1))</f>
        <v/>
      </c>
    </row>
    <row r="161">
      <c r="I161">
        <f>IF($H$2="",NA(),IF(INDEX(CSV!$A:$A,$H$2+160)="",NA(),INDEX(CSV!$A:$A,$H$2+160)*1))</f>
        <v/>
      </c>
      <c r="J161">
        <f>IF($H$2="",NA(),IF(INDEX(CSV!$B:$B,$H$2+160)="",NA(),INDEX(CSV!$B:$B,$H$2+160)*1))</f>
        <v/>
      </c>
      <c r="K161">
        <f>IF($H$2="",NA(),IF(INDEX(CSV!$C:$C,$H$2+160)="",NA(),INDEX(CSV!$C:$C,$H$2+160)*1))</f>
        <v/>
      </c>
    </row>
    <row r="162">
      <c r="I162">
        <f>IF($H$2="",NA(),IF(INDEX(CSV!$A:$A,$H$2+161)="",NA(),INDEX(CSV!$A:$A,$H$2+161)*1))</f>
        <v/>
      </c>
      <c r="J162">
        <f>IF($H$2="",NA(),IF(INDEX(CSV!$B:$B,$H$2+161)="",NA(),INDEX(CSV!$B:$B,$H$2+161)*1))</f>
        <v/>
      </c>
      <c r="K162">
        <f>IF($H$2="",NA(),IF(INDEX(CSV!$C:$C,$H$2+161)="",NA(),INDEX(CSV!$C:$C,$H$2+161)*1))</f>
        <v/>
      </c>
    </row>
    <row r="163">
      <c r="I163">
        <f>IF($H$2="",NA(),IF(INDEX(CSV!$A:$A,$H$2+162)="",NA(),INDEX(CSV!$A:$A,$H$2+162)*1))</f>
        <v/>
      </c>
      <c r="J163">
        <f>IF($H$2="",NA(),IF(INDEX(CSV!$B:$B,$H$2+162)="",NA(),INDEX(CSV!$B:$B,$H$2+162)*1))</f>
        <v/>
      </c>
      <c r="K163">
        <f>IF($H$2="",NA(),IF(INDEX(CSV!$C:$C,$H$2+162)="",NA(),INDEX(CSV!$C:$C,$H$2+162)*1))</f>
        <v/>
      </c>
    </row>
    <row r="164">
      <c r="I164">
        <f>IF($H$2="",NA(),IF(INDEX(CSV!$A:$A,$H$2+163)="",NA(),INDEX(CSV!$A:$A,$H$2+163)*1))</f>
        <v/>
      </c>
      <c r="J164">
        <f>IF($H$2="",NA(),IF(INDEX(CSV!$B:$B,$H$2+163)="",NA(),INDEX(CSV!$B:$B,$H$2+163)*1))</f>
        <v/>
      </c>
      <c r="K164">
        <f>IF($H$2="",NA(),IF(INDEX(CSV!$C:$C,$H$2+163)="",NA(),INDEX(CSV!$C:$C,$H$2+163)*1))</f>
        <v/>
      </c>
    </row>
    <row r="165">
      <c r="I165">
        <f>IF($H$2="",NA(),IF(INDEX(CSV!$A:$A,$H$2+164)="",NA(),INDEX(CSV!$A:$A,$H$2+164)*1))</f>
        <v/>
      </c>
      <c r="J165">
        <f>IF($H$2="",NA(),IF(INDEX(CSV!$B:$B,$H$2+164)="",NA(),INDEX(CSV!$B:$B,$H$2+164)*1))</f>
        <v/>
      </c>
      <c r="K165">
        <f>IF($H$2="",NA(),IF(INDEX(CSV!$C:$C,$H$2+164)="",NA(),INDEX(CSV!$C:$C,$H$2+164)*1))</f>
        <v/>
      </c>
    </row>
    <row r="166">
      <c r="I166">
        <f>IF($H$2="",NA(),IF(INDEX(CSV!$A:$A,$H$2+165)="",NA(),INDEX(CSV!$A:$A,$H$2+165)*1))</f>
        <v/>
      </c>
      <c r="J166">
        <f>IF($H$2="",NA(),IF(INDEX(CSV!$B:$B,$H$2+165)="",NA(),INDEX(CSV!$B:$B,$H$2+165)*1))</f>
        <v/>
      </c>
      <c r="K166">
        <f>IF($H$2="",NA(),IF(INDEX(CSV!$C:$C,$H$2+165)="",NA(),INDEX(CSV!$C:$C,$H$2+165)*1))</f>
        <v/>
      </c>
    </row>
    <row r="167">
      <c r="I167">
        <f>IF($H$2="",NA(),IF(INDEX(CSV!$A:$A,$H$2+166)="",NA(),INDEX(CSV!$A:$A,$H$2+166)*1))</f>
        <v/>
      </c>
      <c r="J167">
        <f>IF($H$2="",NA(),IF(INDEX(CSV!$B:$B,$H$2+166)="",NA(),INDEX(CSV!$B:$B,$H$2+166)*1))</f>
        <v/>
      </c>
      <c r="K167">
        <f>IF($H$2="",NA(),IF(INDEX(CSV!$C:$C,$H$2+166)="",NA(),INDEX(CSV!$C:$C,$H$2+166)*1))</f>
        <v/>
      </c>
    </row>
    <row r="168">
      <c r="I168">
        <f>IF($H$2="",NA(),IF(INDEX(CSV!$A:$A,$H$2+167)="",NA(),INDEX(CSV!$A:$A,$H$2+167)*1))</f>
        <v/>
      </c>
      <c r="J168">
        <f>IF($H$2="",NA(),IF(INDEX(CSV!$B:$B,$H$2+167)="",NA(),INDEX(CSV!$B:$B,$H$2+167)*1))</f>
        <v/>
      </c>
      <c r="K168">
        <f>IF($H$2="",NA(),IF(INDEX(CSV!$C:$C,$H$2+167)="",NA(),INDEX(CSV!$C:$C,$H$2+167)*1))</f>
        <v/>
      </c>
    </row>
    <row r="169">
      <c r="I169">
        <f>IF($H$2="",NA(),IF(INDEX(CSV!$A:$A,$H$2+168)="",NA(),INDEX(CSV!$A:$A,$H$2+168)*1))</f>
        <v/>
      </c>
      <c r="J169">
        <f>IF($H$2="",NA(),IF(INDEX(CSV!$B:$B,$H$2+168)="",NA(),INDEX(CSV!$B:$B,$H$2+168)*1))</f>
        <v/>
      </c>
      <c r="K169">
        <f>IF($H$2="",NA(),IF(INDEX(CSV!$C:$C,$H$2+168)="",NA(),INDEX(CSV!$C:$C,$H$2+168)*1))</f>
        <v/>
      </c>
    </row>
    <row r="170">
      <c r="I170">
        <f>IF($H$2="",NA(),IF(INDEX(CSV!$A:$A,$H$2+169)="",NA(),INDEX(CSV!$A:$A,$H$2+169)*1))</f>
        <v/>
      </c>
      <c r="J170">
        <f>IF($H$2="",NA(),IF(INDEX(CSV!$B:$B,$H$2+169)="",NA(),INDEX(CSV!$B:$B,$H$2+169)*1))</f>
        <v/>
      </c>
      <c r="K170">
        <f>IF($H$2="",NA(),IF(INDEX(CSV!$C:$C,$H$2+169)="",NA(),INDEX(CSV!$C:$C,$H$2+169)*1))</f>
        <v/>
      </c>
    </row>
    <row r="171">
      <c r="I171">
        <f>IF($H$2="",NA(),IF(INDEX(CSV!$A:$A,$H$2+170)="",NA(),INDEX(CSV!$A:$A,$H$2+170)*1))</f>
        <v/>
      </c>
      <c r="J171">
        <f>IF($H$2="",NA(),IF(INDEX(CSV!$B:$B,$H$2+170)="",NA(),INDEX(CSV!$B:$B,$H$2+170)*1))</f>
        <v/>
      </c>
      <c r="K171">
        <f>IF($H$2="",NA(),IF(INDEX(CSV!$C:$C,$H$2+170)="",NA(),INDEX(CSV!$C:$C,$H$2+170)*1))</f>
        <v/>
      </c>
    </row>
    <row r="172">
      <c r="I172">
        <f>IF($H$2="",NA(),IF(INDEX(CSV!$A:$A,$H$2+171)="",NA(),INDEX(CSV!$A:$A,$H$2+171)*1))</f>
        <v/>
      </c>
      <c r="J172">
        <f>IF($H$2="",NA(),IF(INDEX(CSV!$B:$B,$H$2+171)="",NA(),INDEX(CSV!$B:$B,$H$2+171)*1))</f>
        <v/>
      </c>
      <c r="K172">
        <f>IF($H$2="",NA(),IF(INDEX(CSV!$C:$C,$H$2+171)="",NA(),INDEX(CSV!$C:$C,$H$2+171)*1))</f>
        <v/>
      </c>
    </row>
    <row r="173">
      <c r="I173">
        <f>IF($H$2="",NA(),IF(INDEX(CSV!$A:$A,$H$2+172)="",NA(),INDEX(CSV!$A:$A,$H$2+172)*1))</f>
        <v/>
      </c>
      <c r="J173">
        <f>IF($H$2="",NA(),IF(INDEX(CSV!$B:$B,$H$2+172)="",NA(),INDEX(CSV!$B:$B,$H$2+172)*1))</f>
        <v/>
      </c>
      <c r="K173">
        <f>IF($H$2="",NA(),IF(INDEX(CSV!$C:$C,$H$2+172)="",NA(),INDEX(CSV!$C:$C,$H$2+172)*1))</f>
        <v/>
      </c>
    </row>
    <row r="174">
      <c r="I174">
        <f>IF($H$2="",NA(),IF(INDEX(CSV!$A:$A,$H$2+173)="",NA(),INDEX(CSV!$A:$A,$H$2+173)*1))</f>
        <v/>
      </c>
      <c r="J174">
        <f>IF($H$2="",NA(),IF(INDEX(CSV!$B:$B,$H$2+173)="",NA(),INDEX(CSV!$B:$B,$H$2+173)*1))</f>
        <v/>
      </c>
      <c r="K174">
        <f>IF($H$2="",NA(),IF(INDEX(CSV!$C:$C,$H$2+173)="",NA(),INDEX(CSV!$C:$C,$H$2+173)*1))</f>
        <v/>
      </c>
    </row>
    <row r="175">
      <c r="I175">
        <f>IF($H$2="",NA(),IF(INDEX(CSV!$A:$A,$H$2+174)="",NA(),INDEX(CSV!$A:$A,$H$2+174)*1))</f>
        <v/>
      </c>
      <c r="J175">
        <f>IF($H$2="",NA(),IF(INDEX(CSV!$B:$B,$H$2+174)="",NA(),INDEX(CSV!$B:$B,$H$2+174)*1))</f>
        <v/>
      </c>
      <c r="K175">
        <f>IF($H$2="",NA(),IF(INDEX(CSV!$C:$C,$H$2+174)="",NA(),INDEX(CSV!$C:$C,$H$2+174)*1))</f>
        <v/>
      </c>
    </row>
    <row r="176">
      <c r="I176">
        <f>IF($H$2="",NA(),IF(INDEX(CSV!$A:$A,$H$2+175)="",NA(),INDEX(CSV!$A:$A,$H$2+175)*1))</f>
        <v/>
      </c>
      <c r="J176">
        <f>IF($H$2="",NA(),IF(INDEX(CSV!$B:$B,$H$2+175)="",NA(),INDEX(CSV!$B:$B,$H$2+175)*1))</f>
        <v/>
      </c>
      <c r="K176">
        <f>IF($H$2="",NA(),IF(INDEX(CSV!$C:$C,$H$2+175)="",NA(),INDEX(CSV!$C:$C,$H$2+175)*1))</f>
        <v/>
      </c>
    </row>
    <row r="177">
      <c r="I177">
        <f>IF($H$2="",NA(),IF(INDEX(CSV!$A:$A,$H$2+176)="",NA(),INDEX(CSV!$A:$A,$H$2+176)*1))</f>
        <v/>
      </c>
      <c r="J177">
        <f>IF($H$2="",NA(),IF(INDEX(CSV!$B:$B,$H$2+176)="",NA(),INDEX(CSV!$B:$B,$H$2+176)*1))</f>
        <v/>
      </c>
      <c r="K177">
        <f>IF($H$2="",NA(),IF(INDEX(CSV!$C:$C,$H$2+176)="",NA(),INDEX(CSV!$C:$C,$H$2+176)*1))</f>
        <v/>
      </c>
    </row>
    <row r="178">
      <c r="I178">
        <f>IF($H$2="",NA(),IF(INDEX(CSV!$A:$A,$H$2+177)="",NA(),INDEX(CSV!$A:$A,$H$2+177)*1))</f>
        <v/>
      </c>
      <c r="J178">
        <f>IF($H$2="",NA(),IF(INDEX(CSV!$B:$B,$H$2+177)="",NA(),INDEX(CSV!$B:$B,$H$2+177)*1))</f>
        <v/>
      </c>
      <c r="K178">
        <f>IF($H$2="",NA(),IF(INDEX(CSV!$C:$C,$H$2+177)="",NA(),INDEX(CSV!$C:$C,$H$2+177)*1))</f>
        <v/>
      </c>
    </row>
    <row r="179">
      <c r="I179">
        <f>IF($H$2="",NA(),IF(INDEX(CSV!$A:$A,$H$2+178)="",NA(),INDEX(CSV!$A:$A,$H$2+178)*1))</f>
        <v/>
      </c>
      <c r="J179">
        <f>IF($H$2="",NA(),IF(INDEX(CSV!$B:$B,$H$2+178)="",NA(),INDEX(CSV!$B:$B,$H$2+178)*1))</f>
        <v/>
      </c>
      <c r="K179">
        <f>IF($H$2="",NA(),IF(INDEX(CSV!$C:$C,$H$2+178)="",NA(),INDEX(CSV!$C:$C,$H$2+178)*1))</f>
        <v/>
      </c>
    </row>
    <row r="180">
      <c r="I180">
        <f>IF($H$2="",NA(),IF(INDEX(CSV!$A:$A,$H$2+179)="",NA(),INDEX(CSV!$A:$A,$H$2+179)*1))</f>
        <v/>
      </c>
      <c r="J180">
        <f>IF($H$2="",NA(),IF(INDEX(CSV!$B:$B,$H$2+179)="",NA(),INDEX(CSV!$B:$B,$H$2+179)*1))</f>
        <v/>
      </c>
      <c r="K180">
        <f>IF($H$2="",NA(),IF(INDEX(CSV!$C:$C,$H$2+179)="",NA(),INDEX(CSV!$C:$C,$H$2+179)*1))</f>
        <v/>
      </c>
    </row>
    <row r="181">
      <c r="I181">
        <f>IF($H$2="",NA(),IF(INDEX(CSV!$A:$A,$H$2+180)="",NA(),INDEX(CSV!$A:$A,$H$2+180)*1))</f>
        <v/>
      </c>
      <c r="J181">
        <f>IF($H$2="",NA(),IF(INDEX(CSV!$B:$B,$H$2+180)="",NA(),INDEX(CSV!$B:$B,$H$2+180)*1))</f>
        <v/>
      </c>
      <c r="K181">
        <f>IF($H$2="",NA(),IF(INDEX(CSV!$C:$C,$H$2+180)="",NA(),INDEX(CSV!$C:$C,$H$2+180)*1))</f>
        <v/>
      </c>
    </row>
    <row r="182">
      <c r="I182">
        <f>IF($H$2="",NA(),IF(INDEX(CSV!$A:$A,$H$2+181)="",NA(),INDEX(CSV!$A:$A,$H$2+181)*1))</f>
        <v/>
      </c>
      <c r="J182">
        <f>IF($H$2="",NA(),IF(INDEX(CSV!$B:$B,$H$2+181)="",NA(),INDEX(CSV!$B:$B,$H$2+181)*1))</f>
        <v/>
      </c>
      <c r="K182">
        <f>IF($H$2="",NA(),IF(INDEX(CSV!$C:$C,$H$2+181)="",NA(),INDEX(CSV!$C:$C,$H$2+181)*1))</f>
        <v/>
      </c>
    </row>
    <row r="183">
      <c r="I183">
        <f>IF($H$2="",NA(),IF(INDEX(CSV!$A:$A,$H$2+182)="",NA(),INDEX(CSV!$A:$A,$H$2+182)*1))</f>
        <v/>
      </c>
      <c r="J183">
        <f>IF($H$2="",NA(),IF(INDEX(CSV!$B:$B,$H$2+182)="",NA(),INDEX(CSV!$B:$B,$H$2+182)*1))</f>
        <v/>
      </c>
      <c r="K183">
        <f>IF($H$2="",NA(),IF(INDEX(CSV!$C:$C,$H$2+182)="",NA(),INDEX(CSV!$C:$C,$H$2+182)*1))</f>
        <v/>
      </c>
    </row>
    <row r="184">
      <c r="I184">
        <f>IF($H$2="",NA(),IF(INDEX(CSV!$A:$A,$H$2+183)="",NA(),INDEX(CSV!$A:$A,$H$2+183)*1))</f>
        <v/>
      </c>
      <c r="J184">
        <f>IF($H$2="",NA(),IF(INDEX(CSV!$B:$B,$H$2+183)="",NA(),INDEX(CSV!$B:$B,$H$2+183)*1))</f>
        <v/>
      </c>
      <c r="K184">
        <f>IF($H$2="",NA(),IF(INDEX(CSV!$C:$C,$H$2+183)="",NA(),INDEX(CSV!$C:$C,$H$2+183)*1))</f>
        <v/>
      </c>
    </row>
    <row r="185">
      <c r="I185">
        <f>IF($H$2="",NA(),IF(INDEX(CSV!$A:$A,$H$2+184)="",NA(),INDEX(CSV!$A:$A,$H$2+184)*1))</f>
        <v/>
      </c>
      <c r="J185">
        <f>IF($H$2="",NA(),IF(INDEX(CSV!$B:$B,$H$2+184)="",NA(),INDEX(CSV!$B:$B,$H$2+184)*1))</f>
        <v/>
      </c>
      <c r="K185">
        <f>IF($H$2="",NA(),IF(INDEX(CSV!$C:$C,$H$2+184)="",NA(),INDEX(CSV!$C:$C,$H$2+184)*1))</f>
        <v/>
      </c>
    </row>
    <row r="186">
      <c r="I186">
        <f>IF($H$2="",NA(),IF(INDEX(CSV!$A:$A,$H$2+185)="",NA(),INDEX(CSV!$A:$A,$H$2+185)*1))</f>
        <v/>
      </c>
      <c r="J186">
        <f>IF($H$2="",NA(),IF(INDEX(CSV!$B:$B,$H$2+185)="",NA(),INDEX(CSV!$B:$B,$H$2+185)*1))</f>
        <v/>
      </c>
      <c r="K186">
        <f>IF($H$2="",NA(),IF(INDEX(CSV!$C:$C,$H$2+185)="",NA(),INDEX(CSV!$C:$C,$H$2+185)*1))</f>
        <v/>
      </c>
    </row>
    <row r="187">
      <c r="I187">
        <f>IF($H$2="",NA(),IF(INDEX(CSV!$A:$A,$H$2+186)="",NA(),INDEX(CSV!$A:$A,$H$2+186)*1))</f>
        <v/>
      </c>
      <c r="J187">
        <f>IF($H$2="",NA(),IF(INDEX(CSV!$B:$B,$H$2+186)="",NA(),INDEX(CSV!$B:$B,$H$2+186)*1))</f>
        <v/>
      </c>
      <c r="K187">
        <f>IF($H$2="",NA(),IF(INDEX(CSV!$C:$C,$H$2+186)="",NA(),INDEX(CSV!$C:$C,$H$2+186)*1))</f>
        <v/>
      </c>
    </row>
    <row r="188">
      <c r="I188">
        <f>IF($H$2="",NA(),IF(INDEX(CSV!$A:$A,$H$2+187)="",NA(),INDEX(CSV!$A:$A,$H$2+187)*1))</f>
        <v/>
      </c>
      <c r="J188">
        <f>IF($H$2="",NA(),IF(INDEX(CSV!$B:$B,$H$2+187)="",NA(),INDEX(CSV!$B:$B,$H$2+187)*1))</f>
        <v/>
      </c>
      <c r="K188">
        <f>IF($H$2="",NA(),IF(INDEX(CSV!$C:$C,$H$2+187)="",NA(),INDEX(CSV!$C:$C,$H$2+187)*1))</f>
        <v/>
      </c>
    </row>
    <row r="189">
      <c r="I189">
        <f>IF($H$2="",NA(),IF(INDEX(CSV!$A:$A,$H$2+188)="",NA(),INDEX(CSV!$A:$A,$H$2+188)*1))</f>
        <v/>
      </c>
      <c r="J189">
        <f>IF($H$2="",NA(),IF(INDEX(CSV!$B:$B,$H$2+188)="",NA(),INDEX(CSV!$B:$B,$H$2+188)*1))</f>
        <v/>
      </c>
      <c r="K189">
        <f>IF($H$2="",NA(),IF(INDEX(CSV!$C:$C,$H$2+188)="",NA(),INDEX(CSV!$C:$C,$H$2+188)*1))</f>
        <v/>
      </c>
    </row>
    <row r="190">
      <c r="I190">
        <f>IF($H$2="",NA(),IF(INDEX(CSV!$A:$A,$H$2+189)="",NA(),INDEX(CSV!$A:$A,$H$2+189)*1))</f>
        <v/>
      </c>
      <c r="J190">
        <f>IF($H$2="",NA(),IF(INDEX(CSV!$B:$B,$H$2+189)="",NA(),INDEX(CSV!$B:$B,$H$2+189)*1))</f>
        <v/>
      </c>
      <c r="K190">
        <f>IF($H$2="",NA(),IF(INDEX(CSV!$C:$C,$H$2+189)="",NA(),INDEX(CSV!$C:$C,$H$2+189)*1))</f>
        <v/>
      </c>
    </row>
    <row r="191">
      <c r="I191">
        <f>IF($H$2="",NA(),IF(INDEX(CSV!$A:$A,$H$2+190)="",NA(),INDEX(CSV!$A:$A,$H$2+190)*1))</f>
        <v/>
      </c>
      <c r="J191">
        <f>IF($H$2="",NA(),IF(INDEX(CSV!$B:$B,$H$2+190)="",NA(),INDEX(CSV!$B:$B,$H$2+190)*1))</f>
        <v/>
      </c>
      <c r="K191">
        <f>IF($H$2="",NA(),IF(INDEX(CSV!$C:$C,$H$2+190)="",NA(),INDEX(CSV!$C:$C,$H$2+190)*1))</f>
        <v/>
      </c>
    </row>
    <row r="192">
      <c r="I192">
        <f>IF($H$2="",NA(),IF(INDEX(CSV!$A:$A,$H$2+191)="",NA(),INDEX(CSV!$A:$A,$H$2+191)*1))</f>
        <v/>
      </c>
      <c r="J192">
        <f>IF($H$2="",NA(),IF(INDEX(CSV!$B:$B,$H$2+191)="",NA(),INDEX(CSV!$B:$B,$H$2+191)*1))</f>
        <v/>
      </c>
      <c r="K192">
        <f>IF($H$2="",NA(),IF(INDEX(CSV!$C:$C,$H$2+191)="",NA(),INDEX(CSV!$C:$C,$H$2+191)*1))</f>
        <v/>
      </c>
    </row>
    <row r="193">
      <c r="I193">
        <f>IF($H$2="",NA(),IF(INDEX(CSV!$A:$A,$H$2+192)="",NA(),INDEX(CSV!$A:$A,$H$2+192)*1))</f>
        <v/>
      </c>
      <c r="J193">
        <f>IF($H$2="",NA(),IF(INDEX(CSV!$B:$B,$H$2+192)="",NA(),INDEX(CSV!$B:$B,$H$2+192)*1))</f>
        <v/>
      </c>
      <c r="K193">
        <f>IF($H$2="",NA(),IF(INDEX(CSV!$C:$C,$H$2+192)="",NA(),INDEX(CSV!$C:$C,$H$2+192)*1))</f>
        <v/>
      </c>
    </row>
    <row r="194">
      <c r="I194">
        <f>IF($H$2="",NA(),IF(INDEX(CSV!$A:$A,$H$2+193)="",NA(),INDEX(CSV!$A:$A,$H$2+193)*1))</f>
        <v/>
      </c>
      <c r="J194">
        <f>IF($H$2="",NA(),IF(INDEX(CSV!$B:$B,$H$2+193)="",NA(),INDEX(CSV!$B:$B,$H$2+193)*1))</f>
        <v/>
      </c>
      <c r="K194">
        <f>IF($H$2="",NA(),IF(INDEX(CSV!$C:$C,$H$2+193)="",NA(),INDEX(CSV!$C:$C,$H$2+193)*1))</f>
        <v/>
      </c>
    </row>
    <row r="195">
      <c r="I195">
        <f>IF($H$2="",NA(),IF(INDEX(CSV!$A:$A,$H$2+194)="",NA(),INDEX(CSV!$A:$A,$H$2+194)*1))</f>
        <v/>
      </c>
      <c r="J195">
        <f>IF($H$2="",NA(),IF(INDEX(CSV!$B:$B,$H$2+194)="",NA(),INDEX(CSV!$B:$B,$H$2+194)*1))</f>
        <v/>
      </c>
      <c r="K195">
        <f>IF($H$2="",NA(),IF(INDEX(CSV!$C:$C,$H$2+194)="",NA(),INDEX(CSV!$C:$C,$H$2+194)*1))</f>
        <v/>
      </c>
    </row>
    <row r="196">
      <c r="I196">
        <f>IF($H$2="",NA(),IF(INDEX(CSV!$A:$A,$H$2+195)="",NA(),INDEX(CSV!$A:$A,$H$2+195)*1))</f>
        <v/>
      </c>
      <c r="J196">
        <f>IF($H$2="",NA(),IF(INDEX(CSV!$B:$B,$H$2+195)="",NA(),INDEX(CSV!$B:$B,$H$2+195)*1))</f>
        <v/>
      </c>
      <c r="K196">
        <f>IF($H$2="",NA(),IF(INDEX(CSV!$C:$C,$H$2+195)="",NA(),INDEX(CSV!$C:$C,$H$2+195)*1))</f>
        <v/>
      </c>
    </row>
    <row r="197">
      <c r="I197">
        <f>IF($H$2="",NA(),IF(INDEX(CSV!$A:$A,$H$2+196)="",NA(),INDEX(CSV!$A:$A,$H$2+196)*1))</f>
        <v/>
      </c>
      <c r="J197">
        <f>IF($H$2="",NA(),IF(INDEX(CSV!$B:$B,$H$2+196)="",NA(),INDEX(CSV!$B:$B,$H$2+196)*1))</f>
        <v/>
      </c>
      <c r="K197">
        <f>IF($H$2="",NA(),IF(INDEX(CSV!$C:$C,$H$2+196)="",NA(),INDEX(CSV!$C:$C,$H$2+196)*1))</f>
        <v/>
      </c>
    </row>
    <row r="198">
      <c r="I198">
        <f>IF($H$2="",NA(),IF(INDEX(CSV!$A:$A,$H$2+197)="",NA(),INDEX(CSV!$A:$A,$H$2+197)*1))</f>
        <v/>
      </c>
      <c r="J198">
        <f>IF($H$2="",NA(),IF(INDEX(CSV!$B:$B,$H$2+197)="",NA(),INDEX(CSV!$B:$B,$H$2+197)*1))</f>
        <v/>
      </c>
      <c r="K198">
        <f>IF($H$2="",NA(),IF(INDEX(CSV!$C:$C,$H$2+197)="",NA(),INDEX(CSV!$C:$C,$H$2+197)*1))</f>
        <v/>
      </c>
    </row>
    <row r="199">
      <c r="I199">
        <f>IF($H$2="",NA(),IF(INDEX(CSV!$A:$A,$H$2+198)="",NA(),INDEX(CSV!$A:$A,$H$2+198)*1))</f>
        <v/>
      </c>
      <c r="J199">
        <f>IF($H$2="",NA(),IF(INDEX(CSV!$B:$B,$H$2+198)="",NA(),INDEX(CSV!$B:$B,$H$2+198)*1))</f>
        <v/>
      </c>
      <c r="K199">
        <f>IF($H$2="",NA(),IF(INDEX(CSV!$C:$C,$H$2+198)="",NA(),INDEX(CSV!$C:$C,$H$2+198)*1))</f>
        <v/>
      </c>
    </row>
    <row r="200">
      <c r="I200">
        <f>IF($H$2="",NA(),IF(INDEX(CSV!$A:$A,$H$2+199)="",NA(),INDEX(CSV!$A:$A,$H$2+199)*1))</f>
        <v/>
      </c>
      <c r="J200">
        <f>IF($H$2="",NA(),IF(INDEX(CSV!$B:$B,$H$2+199)="",NA(),INDEX(CSV!$B:$B,$H$2+199)*1))</f>
        <v/>
      </c>
      <c r="K200">
        <f>IF($H$2="",NA(),IF(INDEX(CSV!$C:$C,$H$2+199)="",NA(),INDEX(CSV!$C:$C,$H$2+199)*1))</f>
        <v/>
      </c>
    </row>
    <row r="201">
      <c r="I201">
        <f>IF($H$2="",NA(),IF(INDEX(CSV!$A:$A,$H$2+200)="",NA(),INDEX(CSV!$A:$A,$H$2+200)*1))</f>
        <v/>
      </c>
      <c r="J201">
        <f>IF($H$2="",NA(),IF(INDEX(CSV!$B:$B,$H$2+200)="",NA(),INDEX(CSV!$B:$B,$H$2+200)*1))</f>
        <v/>
      </c>
      <c r="K201">
        <f>IF($H$2="",NA(),IF(INDEX(CSV!$C:$C,$H$2+200)="",NA(),INDEX(CSV!$C:$C,$H$2+200)*1))</f>
        <v/>
      </c>
    </row>
    <row r="202">
      <c r="I202">
        <f>IF($H$2="",NA(),IF(INDEX(CSV!$A:$A,$H$2+201)="",NA(),INDEX(CSV!$A:$A,$H$2+201)*1))</f>
        <v/>
      </c>
      <c r="J202">
        <f>IF($H$2="",NA(),IF(INDEX(CSV!$B:$B,$H$2+201)="",NA(),INDEX(CSV!$B:$B,$H$2+201)*1))</f>
        <v/>
      </c>
      <c r="K202">
        <f>IF($H$2="",NA(),IF(INDEX(CSV!$C:$C,$H$2+201)="",NA(),INDEX(CSV!$C:$C,$H$2+201)*1))</f>
        <v/>
      </c>
    </row>
    <row r="203">
      <c r="I203">
        <f>IF($H$2="",NA(),IF(INDEX(CSV!$A:$A,$H$2+202)="",NA(),INDEX(CSV!$A:$A,$H$2+202)*1))</f>
        <v/>
      </c>
      <c r="J203">
        <f>IF($H$2="",NA(),IF(INDEX(CSV!$B:$B,$H$2+202)="",NA(),INDEX(CSV!$B:$B,$H$2+202)*1))</f>
        <v/>
      </c>
      <c r="K203">
        <f>IF($H$2="",NA(),IF(INDEX(CSV!$C:$C,$H$2+202)="",NA(),INDEX(CSV!$C:$C,$H$2+202)*1))</f>
        <v/>
      </c>
    </row>
    <row r="204">
      <c r="I204">
        <f>IF($H$2="",NA(),IF(INDEX(CSV!$A:$A,$H$2+203)="",NA(),INDEX(CSV!$A:$A,$H$2+203)*1))</f>
        <v/>
      </c>
      <c r="J204">
        <f>IF($H$2="",NA(),IF(INDEX(CSV!$B:$B,$H$2+203)="",NA(),INDEX(CSV!$B:$B,$H$2+203)*1))</f>
        <v/>
      </c>
      <c r="K204">
        <f>IF($H$2="",NA(),IF(INDEX(CSV!$C:$C,$H$2+203)="",NA(),INDEX(CSV!$C:$C,$H$2+203)*1))</f>
        <v/>
      </c>
    </row>
    <row r="205">
      <c r="I205">
        <f>IF($H$2="",NA(),IF(INDEX(CSV!$A:$A,$H$2+204)="",NA(),INDEX(CSV!$A:$A,$H$2+204)*1))</f>
        <v/>
      </c>
      <c r="J205">
        <f>IF($H$2="",NA(),IF(INDEX(CSV!$B:$B,$H$2+204)="",NA(),INDEX(CSV!$B:$B,$H$2+204)*1))</f>
        <v/>
      </c>
      <c r="K205">
        <f>IF($H$2="",NA(),IF(INDEX(CSV!$C:$C,$H$2+204)="",NA(),INDEX(CSV!$C:$C,$H$2+204)*1))</f>
        <v/>
      </c>
    </row>
    <row r="206">
      <c r="I206">
        <f>IF($H$2="",NA(),IF(INDEX(CSV!$A:$A,$H$2+205)="",NA(),INDEX(CSV!$A:$A,$H$2+205)*1))</f>
        <v/>
      </c>
      <c r="J206">
        <f>IF($H$2="",NA(),IF(INDEX(CSV!$B:$B,$H$2+205)="",NA(),INDEX(CSV!$B:$B,$H$2+205)*1))</f>
        <v/>
      </c>
      <c r="K206">
        <f>IF($H$2="",NA(),IF(INDEX(CSV!$C:$C,$H$2+205)="",NA(),INDEX(CSV!$C:$C,$H$2+205)*1))</f>
        <v/>
      </c>
    </row>
    <row r="207">
      <c r="I207">
        <f>IF($H$2="",NA(),IF(INDEX(CSV!$A:$A,$H$2+206)="",NA(),INDEX(CSV!$A:$A,$H$2+206)*1))</f>
        <v/>
      </c>
      <c r="J207">
        <f>IF($H$2="",NA(),IF(INDEX(CSV!$B:$B,$H$2+206)="",NA(),INDEX(CSV!$B:$B,$H$2+206)*1))</f>
        <v/>
      </c>
      <c r="K207">
        <f>IF($H$2="",NA(),IF(INDEX(CSV!$C:$C,$H$2+206)="",NA(),INDEX(CSV!$C:$C,$H$2+206)*1))</f>
        <v/>
      </c>
    </row>
    <row r="208">
      <c r="I208">
        <f>IF($H$2="",NA(),IF(INDEX(CSV!$A:$A,$H$2+207)="",NA(),INDEX(CSV!$A:$A,$H$2+207)*1))</f>
        <v/>
      </c>
      <c r="J208">
        <f>IF($H$2="",NA(),IF(INDEX(CSV!$B:$B,$H$2+207)="",NA(),INDEX(CSV!$B:$B,$H$2+207)*1))</f>
        <v/>
      </c>
      <c r="K208">
        <f>IF($H$2="",NA(),IF(INDEX(CSV!$C:$C,$H$2+207)="",NA(),INDEX(CSV!$C:$C,$H$2+207)*1))</f>
        <v/>
      </c>
    </row>
    <row r="209">
      <c r="I209">
        <f>IF($H$2="",NA(),IF(INDEX(CSV!$A:$A,$H$2+208)="",NA(),INDEX(CSV!$A:$A,$H$2+208)*1))</f>
        <v/>
      </c>
      <c r="J209">
        <f>IF($H$2="",NA(),IF(INDEX(CSV!$B:$B,$H$2+208)="",NA(),INDEX(CSV!$B:$B,$H$2+208)*1))</f>
        <v/>
      </c>
      <c r="K209">
        <f>IF($H$2="",NA(),IF(INDEX(CSV!$C:$C,$H$2+208)="",NA(),INDEX(CSV!$C:$C,$H$2+208)*1))</f>
        <v/>
      </c>
    </row>
    <row r="210">
      <c r="I210">
        <f>IF($H$2="",NA(),IF(INDEX(CSV!$A:$A,$H$2+209)="",NA(),INDEX(CSV!$A:$A,$H$2+209)*1))</f>
        <v/>
      </c>
      <c r="J210">
        <f>IF($H$2="",NA(),IF(INDEX(CSV!$B:$B,$H$2+209)="",NA(),INDEX(CSV!$B:$B,$H$2+209)*1))</f>
        <v/>
      </c>
      <c r="K210">
        <f>IF($H$2="",NA(),IF(INDEX(CSV!$C:$C,$H$2+209)="",NA(),INDEX(CSV!$C:$C,$H$2+209)*1))</f>
        <v/>
      </c>
    </row>
    <row r="211">
      <c r="I211">
        <f>IF($H$2="",NA(),IF(INDEX(CSV!$A:$A,$H$2+210)="",NA(),INDEX(CSV!$A:$A,$H$2+210)*1))</f>
        <v/>
      </c>
      <c r="J211">
        <f>IF($H$2="",NA(),IF(INDEX(CSV!$B:$B,$H$2+210)="",NA(),INDEX(CSV!$B:$B,$H$2+210)*1))</f>
        <v/>
      </c>
      <c r="K211">
        <f>IF($H$2="",NA(),IF(INDEX(CSV!$C:$C,$H$2+210)="",NA(),INDEX(CSV!$C:$C,$H$2+210)*1))</f>
        <v/>
      </c>
    </row>
    <row r="212">
      <c r="I212">
        <f>IF($H$2="",NA(),IF(INDEX(CSV!$A:$A,$H$2+211)="",NA(),INDEX(CSV!$A:$A,$H$2+211)*1))</f>
        <v/>
      </c>
      <c r="J212">
        <f>IF($H$2="",NA(),IF(INDEX(CSV!$B:$B,$H$2+211)="",NA(),INDEX(CSV!$B:$B,$H$2+211)*1))</f>
        <v/>
      </c>
      <c r="K212">
        <f>IF($H$2="",NA(),IF(INDEX(CSV!$C:$C,$H$2+211)="",NA(),INDEX(CSV!$C:$C,$H$2+211)*1))</f>
        <v/>
      </c>
    </row>
    <row r="213">
      <c r="I213">
        <f>IF($H$2="",NA(),IF(INDEX(CSV!$A:$A,$H$2+212)="",NA(),INDEX(CSV!$A:$A,$H$2+212)*1))</f>
        <v/>
      </c>
      <c r="J213">
        <f>IF($H$2="",NA(),IF(INDEX(CSV!$B:$B,$H$2+212)="",NA(),INDEX(CSV!$B:$B,$H$2+212)*1))</f>
        <v/>
      </c>
      <c r="K213">
        <f>IF($H$2="",NA(),IF(INDEX(CSV!$C:$C,$H$2+212)="",NA(),INDEX(CSV!$C:$C,$H$2+212)*1))</f>
        <v/>
      </c>
    </row>
    <row r="214">
      <c r="I214">
        <f>IF($H$2="",NA(),IF(INDEX(CSV!$A:$A,$H$2+213)="",NA(),INDEX(CSV!$A:$A,$H$2+213)*1))</f>
        <v/>
      </c>
      <c r="J214">
        <f>IF($H$2="",NA(),IF(INDEX(CSV!$B:$B,$H$2+213)="",NA(),INDEX(CSV!$B:$B,$H$2+213)*1))</f>
        <v/>
      </c>
      <c r="K214">
        <f>IF($H$2="",NA(),IF(INDEX(CSV!$C:$C,$H$2+213)="",NA(),INDEX(CSV!$C:$C,$H$2+213)*1))</f>
        <v/>
      </c>
    </row>
    <row r="215">
      <c r="I215">
        <f>IF($H$2="",NA(),IF(INDEX(CSV!$A:$A,$H$2+214)="",NA(),INDEX(CSV!$A:$A,$H$2+214)*1))</f>
        <v/>
      </c>
      <c r="J215">
        <f>IF($H$2="",NA(),IF(INDEX(CSV!$B:$B,$H$2+214)="",NA(),INDEX(CSV!$B:$B,$H$2+214)*1))</f>
        <v/>
      </c>
      <c r="K215">
        <f>IF($H$2="",NA(),IF(INDEX(CSV!$C:$C,$H$2+214)="",NA(),INDEX(CSV!$C:$C,$H$2+214)*1))</f>
        <v/>
      </c>
    </row>
    <row r="216">
      <c r="I216">
        <f>IF($H$2="",NA(),IF(INDEX(CSV!$A:$A,$H$2+215)="",NA(),INDEX(CSV!$A:$A,$H$2+215)*1))</f>
        <v/>
      </c>
      <c r="J216">
        <f>IF($H$2="",NA(),IF(INDEX(CSV!$B:$B,$H$2+215)="",NA(),INDEX(CSV!$B:$B,$H$2+215)*1))</f>
        <v/>
      </c>
      <c r="K216">
        <f>IF($H$2="",NA(),IF(INDEX(CSV!$C:$C,$H$2+215)="",NA(),INDEX(CSV!$C:$C,$H$2+215)*1))</f>
        <v/>
      </c>
    </row>
    <row r="217">
      <c r="I217">
        <f>IF($H$2="",NA(),IF(INDEX(CSV!$A:$A,$H$2+216)="",NA(),INDEX(CSV!$A:$A,$H$2+216)*1))</f>
        <v/>
      </c>
      <c r="J217">
        <f>IF($H$2="",NA(),IF(INDEX(CSV!$B:$B,$H$2+216)="",NA(),INDEX(CSV!$B:$B,$H$2+216)*1))</f>
        <v/>
      </c>
      <c r="K217">
        <f>IF($H$2="",NA(),IF(INDEX(CSV!$C:$C,$H$2+216)="",NA(),INDEX(CSV!$C:$C,$H$2+216)*1))</f>
        <v/>
      </c>
    </row>
    <row r="218">
      <c r="I218">
        <f>IF($H$2="",NA(),IF(INDEX(CSV!$A:$A,$H$2+217)="",NA(),INDEX(CSV!$A:$A,$H$2+217)*1))</f>
        <v/>
      </c>
      <c r="J218">
        <f>IF($H$2="",NA(),IF(INDEX(CSV!$B:$B,$H$2+217)="",NA(),INDEX(CSV!$B:$B,$H$2+217)*1))</f>
        <v/>
      </c>
      <c r="K218">
        <f>IF($H$2="",NA(),IF(INDEX(CSV!$C:$C,$H$2+217)="",NA(),INDEX(CSV!$C:$C,$H$2+217)*1))</f>
        <v/>
      </c>
    </row>
    <row r="219">
      <c r="I219">
        <f>IF($H$2="",NA(),IF(INDEX(CSV!$A:$A,$H$2+218)="",NA(),INDEX(CSV!$A:$A,$H$2+218)*1))</f>
        <v/>
      </c>
      <c r="J219">
        <f>IF($H$2="",NA(),IF(INDEX(CSV!$B:$B,$H$2+218)="",NA(),INDEX(CSV!$B:$B,$H$2+218)*1))</f>
        <v/>
      </c>
      <c r="K219">
        <f>IF($H$2="",NA(),IF(INDEX(CSV!$C:$C,$H$2+218)="",NA(),INDEX(CSV!$C:$C,$H$2+218)*1))</f>
        <v/>
      </c>
    </row>
    <row r="220">
      <c r="I220">
        <f>IF($H$2="",NA(),IF(INDEX(CSV!$A:$A,$H$2+219)="",NA(),INDEX(CSV!$A:$A,$H$2+219)*1))</f>
        <v/>
      </c>
      <c r="J220">
        <f>IF($H$2="",NA(),IF(INDEX(CSV!$B:$B,$H$2+219)="",NA(),INDEX(CSV!$B:$B,$H$2+219)*1))</f>
        <v/>
      </c>
      <c r="K220">
        <f>IF($H$2="",NA(),IF(INDEX(CSV!$C:$C,$H$2+219)="",NA(),INDEX(CSV!$C:$C,$H$2+219)*1))</f>
        <v/>
      </c>
    </row>
    <row r="221">
      <c r="I221">
        <f>IF($H$2="",NA(),IF(INDEX(CSV!$A:$A,$H$2+220)="",NA(),INDEX(CSV!$A:$A,$H$2+220)*1))</f>
        <v/>
      </c>
      <c r="J221">
        <f>IF($H$2="",NA(),IF(INDEX(CSV!$B:$B,$H$2+220)="",NA(),INDEX(CSV!$B:$B,$H$2+220)*1))</f>
        <v/>
      </c>
      <c r="K221">
        <f>IF($H$2="",NA(),IF(INDEX(CSV!$C:$C,$H$2+220)="",NA(),INDEX(CSV!$C:$C,$H$2+220)*1))</f>
        <v/>
      </c>
    </row>
    <row r="222">
      <c r="I222">
        <f>IF($H$2="",NA(),IF(INDEX(CSV!$A:$A,$H$2+221)="",NA(),INDEX(CSV!$A:$A,$H$2+221)*1))</f>
        <v/>
      </c>
      <c r="J222">
        <f>IF($H$2="",NA(),IF(INDEX(CSV!$B:$B,$H$2+221)="",NA(),INDEX(CSV!$B:$B,$H$2+221)*1))</f>
        <v/>
      </c>
      <c r="K222">
        <f>IF($H$2="",NA(),IF(INDEX(CSV!$C:$C,$H$2+221)="",NA(),INDEX(CSV!$C:$C,$H$2+221)*1))</f>
        <v/>
      </c>
    </row>
    <row r="223">
      <c r="I223">
        <f>IF($H$2="",NA(),IF(INDEX(CSV!$A:$A,$H$2+222)="",NA(),INDEX(CSV!$A:$A,$H$2+222)*1))</f>
        <v/>
      </c>
      <c r="J223">
        <f>IF($H$2="",NA(),IF(INDEX(CSV!$B:$B,$H$2+222)="",NA(),INDEX(CSV!$B:$B,$H$2+222)*1))</f>
        <v/>
      </c>
      <c r="K223">
        <f>IF($H$2="",NA(),IF(INDEX(CSV!$C:$C,$H$2+222)="",NA(),INDEX(CSV!$C:$C,$H$2+222)*1))</f>
        <v/>
      </c>
    </row>
    <row r="224">
      <c r="I224">
        <f>IF($H$2="",NA(),IF(INDEX(CSV!$A:$A,$H$2+223)="",NA(),INDEX(CSV!$A:$A,$H$2+223)*1))</f>
        <v/>
      </c>
      <c r="J224">
        <f>IF($H$2="",NA(),IF(INDEX(CSV!$B:$B,$H$2+223)="",NA(),INDEX(CSV!$B:$B,$H$2+223)*1))</f>
        <v/>
      </c>
      <c r="K224">
        <f>IF($H$2="",NA(),IF(INDEX(CSV!$C:$C,$H$2+223)="",NA(),INDEX(CSV!$C:$C,$H$2+223)*1))</f>
        <v/>
      </c>
    </row>
    <row r="225">
      <c r="I225">
        <f>IF($H$2="",NA(),IF(INDEX(CSV!$A:$A,$H$2+224)="",NA(),INDEX(CSV!$A:$A,$H$2+224)*1))</f>
        <v/>
      </c>
      <c r="J225">
        <f>IF($H$2="",NA(),IF(INDEX(CSV!$B:$B,$H$2+224)="",NA(),INDEX(CSV!$B:$B,$H$2+224)*1))</f>
        <v/>
      </c>
      <c r="K225">
        <f>IF($H$2="",NA(),IF(INDEX(CSV!$C:$C,$H$2+224)="",NA(),INDEX(CSV!$C:$C,$H$2+224)*1))</f>
        <v/>
      </c>
    </row>
    <row r="226">
      <c r="I226">
        <f>IF($H$2="",NA(),IF(INDEX(CSV!$A:$A,$H$2+225)="",NA(),INDEX(CSV!$A:$A,$H$2+225)*1))</f>
        <v/>
      </c>
      <c r="J226">
        <f>IF($H$2="",NA(),IF(INDEX(CSV!$B:$B,$H$2+225)="",NA(),INDEX(CSV!$B:$B,$H$2+225)*1))</f>
        <v/>
      </c>
      <c r="K226">
        <f>IF($H$2="",NA(),IF(INDEX(CSV!$C:$C,$H$2+225)="",NA(),INDEX(CSV!$C:$C,$H$2+225)*1))</f>
        <v/>
      </c>
    </row>
    <row r="227">
      <c r="I227">
        <f>IF($H$2="",NA(),IF(INDEX(CSV!$A:$A,$H$2+226)="",NA(),INDEX(CSV!$A:$A,$H$2+226)*1))</f>
        <v/>
      </c>
      <c r="J227">
        <f>IF($H$2="",NA(),IF(INDEX(CSV!$B:$B,$H$2+226)="",NA(),INDEX(CSV!$B:$B,$H$2+226)*1))</f>
        <v/>
      </c>
      <c r="K227">
        <f>IF($H$2="",NA(),IF(INDEX(CSV!$C:$C,$H$2+226)="",NA(),INDEX(CSV!$C:$C,$H$2+226)*1))</f>
        <v/>
      </c>
    </row>
    <row r="228">
      <c r="I228">
        <f>IF($H$2="",NA(),IF(INDEX(CSV!$A:$A,$H$2+227)="",NA(),INDEX(CSV!$A:$A,$H$2+227)*1))</f>
        <v/>
      </c>
      <c r="J228">
        <f>IF($H$2="",NA(),IF(INDEX(CSV!$B:$B,$H$2+227)="",NA(),INDEX(CSV!$B:$B,$H$2+227)*1))</f>
        <v/>
      </c>
      <c r="K228">
        <f>IF($H$2="",NA(),IF(INDEX(CSV!$C:$C,$H$2+227)="",NA(),INDEX(CSV!$C:$C,$H$2+227)*1))</f>
        <v/>
      </c>
    </row>
    <row r="229">
      <c r="I229">
        <f>IF($H$2="",NA(),IF(INDEX(CSV!$A:$A,$H$2+228)="",NA(),INDEX(CSV!$A:$A,$H$2+228)*1))</f>
        <v/>
      </c>
      <c r="J229">
        <f>IF($H$2="",NA(),IF(INDEX(CSV!$B:$B,$H$2+228)="",NA(),INDEX(CSV!$B:$B,$H$2+228)*1))</f>
        <v/>
      </c>
      <c r="K229">
        <f>IF($H$2="",NA(),IF(INDEX(CSV!$C:$C,$H$2+228)="",NA(),INDEX(CSV!$C:$C,$H$2+228)*1))</f>
        <v/>
      </c>
    </row>
    <row r="230">
      <c r="I230">
        <f>IF($H$2="",NA(),IF(INDEX(CSV!$A:$A,$H$2+229)="",NA(),INDEX(CSV!$A:$A,$H$2+229)*1))</f>
        <v/>
      </c>
      <c r="J230">
        <f>IF($H$2="",NA(),IF(INDEX(CSV!$B:$B,$H$2+229)="",NA(),INDEX(CSV!$B:$B,$H$2+229)*1))</f>
        <v/>
      </c>
      <c r="K230">
        <f>IF($H$2="",NA(),IF(INDEX(CSV!$C:$C,$H$2+229)="",NA(),INDEX(CSV!$C:$C,$H$2+229)*1))</f>
        <v/>
      </c>
    </row>
    <row r="231">
      <c r="I231">
        <f>IF($H$2="",NA(),IF(INDEX(CSV!$A:$A,$H$2+230)="",NA(),INDEX(CSV!$A:$A,$H$2+230)*1))</f>
        <v/>
      </c>
      <c r="J231">
        <f>IF($H$2="",NA(),IF(INDEX(CSV!$B:$B,$H$2+230)="",NA(),INDEX(CSV!$B:$B,$H$2+230)*1))</f>
        <v/>
      </c>
      <c r="K231">
        <f>IF($H$2="",NA(),IF(INDEX(CSV!$C:$C,$H$2+230)="",NA(),INDEX(CSV!$C:$C,$H$2+230)*1))</f>
        <v/>
      </c>
    </row>
    <row r="232">
      <c r="I232">
        <f>IF($H$2="",NA(),IF(INDEX(CSV!$A:$A,$H$2+231)="",NA(),INDEX(CSV!$A:$A,$H$2+231)*1))</f>
        <v/>
      </c>
      <c r="J232">
        <f>IF($H$2="",NA(),IF(INDEX(CSV!$B:$B,$H$2+231)="",NA(),INDEX(CSV!$B:$B,$H$2+231)*1))</f>
        <v/>
      </c>
      <c r="K232">
        <f>IF($H$2="",NA(),IF(INDEX(CSV!$C:$C,$H$2+231)="",NA(),INDEX(CSV!$C:$C,$H$2+231)*1))</f>
        <v/>
      </c>
    </row>
    <row r="233">
      <c r="I233">
        <f>IF($H$2="",NA(),IF(INDEX(CSV!$A:$A,$H$2+232)="",NA(),INDEX(CSV!$A:$A,$H$2+232)*1))</f>
        <v/>
      </c>
      <c r="J233">
        <f>IF($H$2="",NA(),IF(INDEX(CSV!$B:$B,$H$2+232)="",NA(),INDEX(CSV!$B:$B,$H$2+232)*1))</f>
        <v/>
      </c>
      <c r="K233">
        <f>IF($H$2="",NA(),IF(INDEX(CSV!$C:$C,$H$2+232)="",NA(),INDEX(CSV!$C:$C,$H$2+232)*1))</f>
        <v/>
      </c>
    </row>
    <row r="234">
      <c r="I234">
        <f>IF($H$2="",NA(),IF(INDEX(CSV!$A:$A,$H$2+233)="",NA(),INDEX(CSV!$A:$A,$H$2+233)*1))</f>
        <v/>
      </c>
      <c r="J234">
        <f>IF($H$2="",NA(),IF(INDEX(CSV!$B:$B,$H$2+233)="",NA(),INDEX(CSV!$B:$B,$H$2+233)*1))</f>
        <v/>
      </c>
      <c r="K234">
        <f>IF($H$2="",NA(),IF(INDEX(CSV!$C:$C,$H$2+233)="",NA(),INDEX(CSV!$C:$C,$H$2+233)*1))</f>
        <v/>
      </c>
    </row>
    <row r="235">
      <c r="I235">
        <f>IF($H$2="",NA(),IF(INDEX(CSV!$A:$A,$H$2+234)="",NA(),INDEX(CSV!$A:$A,$H$2+234)*1))</f>
        <v/>
      </c>
      <c r="J235">
        <f>IF($H$2="",NA(),IF(INDEX(CSV!$B:$B,$H$2+234)="",NA(),INDEX(CSV!$B:$B,$H$2+234)*1))</f>
        <v/>
      </c>
      <c r="K235">
        <f>IF($H$2="",NA(),IF(INDEX(CSV!$C:$C,$H$2+234)="",NA(),INDEX(CSV!$C:$C,$H$2+234)*1))</f>
        <v/>
      </c>
    </row>
    <row r="236">
      <c r="I236">
        <f>IF($H$2="",NA(),IF(INDEX(CSV!$A:$A,$H$2+235)="",NA(),INDEX(CSV!$A:$A,$H$2+235)*1))</f>
        <v/>
      </c>
      <c r="J236">
        <f>IF($H$2="",NA(),IF(INDEX(CSV!$B:$B,$H$2+235)="",NA(),INDEX(CSV!$B:$B,$H$2+235)*1))</f>
        <v/>
      </c>
      <c r="K236">
        <f>IF($H$2="",NA(),IF(INDEX(CSV!$C:$C,$H$2+235)="",NA(),INDEX(CSV!$C:$C,$H$2+235)*1))</f>
        <v/>
      </c>
    </row>
    <row r="237">
      <c r="I237">
        <f>IF($H$2="",NA(),IF(INDEX(CSV!$A:$A,$H$2+236)="",NA(),INDEX(CSV!$A:$A,$H$2+236)*1))</f>
        <v/>
      </c>
      <c r="J237">
        <f>IF($H$2="",NA(),IF(INDEX(CSV!$B:$B,$H$2+236)="",NA(),INDEX(CSV!$B:$B,$H$2+236)*1))</f>
        <v/>
      </c>
      <c r="K237">
        <f>IF($H$2="",NA(),IF(INDEX(CSV!$C:$C,$H$2+236)="",NA(),INDEX(CSV!$C:$C,$H$2+236)*1))</f>
        <v/>
      </c>
    </row>
    <row r="238">
      <c r="I238">
        <f>IF($H$2="",NA(),IF(INDEX(CSV!$A:$A,$H$2+237)="",NA(),INDEX(CSV!$A:$A,$H$2+237)*1))</f>
        <v/>
      </c>
      <c r="J238">
        <f>IF($H$2="",NA(),IF(INDEX(CSV!$B:$B,$H$2+237)="",NA(),INDEX(CSV!$B:$B,$H$2+237)*1))</f>
        <v/>
      </c>
      <c r="K238">
        <f>IF($H$2="",NA(),IF(INDEX(CSV!$C:$C,$H$2+237)="",NA(),INDEX(CSV!$C:$C,$H$2+237)*1))</f>
        <v/>
      </c>
    </row>
    <row r="239">
      <c r="I239">
        <f>IF($H$2="",NA(),IF(INDEX(CSV!$A:$A,$H$2+238)="",NA(),INDEX(CSV!$A:$A,$H$2+238)*1))</f>
        <v/>
      </c>
      <c r="J239">
        <f>IF($H$2="",NA(),IF(INDEX(CSV!$B:$B,$H$2+238)="",NA(),INDEX(CSV!$B:$B,$H$2+238)*1))</f>
        <v/>
      </c>
      <c r="K239">
        <f>IF($H$2="",NA(),IF(INDEX(CSV!$C:$C,$H$2+238)="",NA(),INDEX(CSV!$C:$C,$H$2+238)*1))</f>
        <v/>
      </c>
    </row>
    <row r="240">
      <c r="I240">
        <f>IF($H$2="",NA(),IF(INDEX(CSV!$A:$A,$H$2+239)="",NA(),INDEX(CSV!$A:$A,$H$2+239)*1))</f>
        <v/>
      </c>
      <c r="J240">
        <f>IF($H$2="",NA(),IF(INDEX(CSV!$B:$B,$H$2+239)="",NA(),INDEX(CSV!$B:$B,$H$2+239)*1))</f>
        <v/>
      </c>
      <c r="K240">
        <f>IF($H$2="",NA(),IF(INDEX(CSV!$C:$C,$H$2+239)="",NA(),INDEX(CSV!$C:$C,$H$2+239)*1))</f>
        <v/>
      </c>
    </row>
    <row r="241">
      <c r="I241">
        <f>IF($H$2="",NA(),IF(INDEX(CSV!$A:$A,$H$2+240)="",NA(),INDEX(CSV!$A:$A,$H$2+240)*1))</f>
        <v/>
      </c>
      <c r="J241">
        <f>IF($H$2="",NA(),IF(INDEX(CSV!$B:$B,$H$2+240)="",NA(),INDEX(CSV!$B:$B,$H$2+240)*1))</f>
        <v/>
      </c>
      <c r="K241">
        <f>IF($H$2="",NA(),IF(INDEX(CSV!$C:$C,$H$2+240)="",NA(),INDEX(CSV!$C:$C,$H$2+240)*1))</f>
        <v/>
      </c>
    </row>
    <row r="242">
      <c r="I242">
        <f>IF($H$2="",NA(),IF(INDEX(CSV!$A:$A,$H$2+241)="",NA(),INDEX(CSV!$A:$A,$H$2+241)*1))</f>
        <v/>
      </c>
      <c r="J242">
        <f>IF($H$2="",NA(),IF(INDEX(CSV!$B:$B,$H$2+241)="",NA(),INDEX(CSV!$B:$B,$H$2+241)*1))</f>
        <v/>
      </c>
      <c r="K242">
        <f>IF($H$2="",NA(),IF(INDEX(CSV!$C:$C,$H$2+241)="",NA(),INDEX(CSV!$C:$C,$H$2+241)*1))</f>
        <v/>
      </c>
    </row>
    <row r="243">
      <c r="I243">
        <f>IF($H$2="",NA(),IF(INDEX(CSV!$A:$A,$H$2+242)="",NA(),INDEX(CSV!$A:$A,$H$2+242)*1))</f>
        <v/>
      </c>
      <c r="J243">
        <f>IF($H$2="",NA(),IF(INDEX(CSV!$B:$B,$H$2+242)="",NA(),INDEX(CSV!$B:$B,$H$2+242)*1))</f>
        <v/>
      </c>
      <c r="K243">
        <f>IF($H$2="",NA(),IF(INDEX(CSV!$C:$C,$H$2+242)="",NA(),INDEX(CSV!$C:$C,$H$2+242)*1))</f>
        <v/>
      </c>
    </row>
    <row r="244">
      <c r="I244">
        <f>IF($H$2="",NA(),IF(INDEX(CSV!$A:$A,$H$2+243)="",NA(),INDEX(CSV!$A:$A,$H$2+243)*1))</f>
        <v/>
      </c>
      <c r="J244">
        <f>IF($H$2="",NA(),IF(INDEX(CSV!$B:$B,$H$2+243)="",NA(),INDEX(CSV!$B:$B,$H$2+243)*1))</f>
        <v/>
      </c>
      <c r="K244">
        <f>IF($H$2="",NA(),IF(INDEX(CSV!$C:$C,$H$2+243)="",NA(),INDEX(CSV!$C:$C,$H$2+243)*1))</f>
        <v/>
      </c>
    </row>
    <row r="245">
      <c r="I245">
        <f>IF($H$2="",NA(),IF(INDEX(CSV!$A:$A,$H$2+244)="",NA(),INDEX(CSV!$A:$A,$H$2+244)*1))</f>
        <v/>
      </c>
      <c r="J245">
        <f>IF($H$2="",NA(),IF(INDEX(CSV!$B:$B,$H$2+244)="",NA(),INDEX(CSV!$B:$B,$H$2+244)*1))</f>
        <v/>
      </c>
      <c r="K245">
        <f>IF($H$2="",NA(),IF(INDEX(CSV!$C:$C,$H$2+244)="",NA(),INDEX(CSV!$C:$C,$H$2+244)*1))</f>
        <v/>
      </c>
    </row>
    <row r="246">
      <c r="I246">
        <f>IF($H$2="",NA(),IF(INDEX(CSV!$A:$A,$H$2+245)="",NA(),INDEX(CSV!$A:$A,$H$2+245)*1))</f>
        <v/>
      </c>
      <c r="J246">
        <f>IF($H$2="",NA(),IF(INDEX(CSV!$B:$B,$H$2+245)="",NA(),INDEX(CSV!$B:$B,$H$2+245)*1))</f>
        <v/>
      </c>
      <c r="K246">
        <f>IF($H$2="",NA(),IF(INDEX(CSV!$C:$C,$H$2+245)="",NA(),INDEX(CSV!$C:$C,$H$2+245)*1))</f>
        <v/>
      </c>
    </row>
    <row r="247">
      <c r="I247">
        <f>IF($H$2="",NA(),IF(INDEX(CSV!$A:$A,$H$2+246)="",NA(),INDEX(CSV!$A:$A,$H$2+246)*1))</f>
        <v/>
      </c>
      <c r="J247">
        <f>IF($H$2="",NA(),IF(INDEX(CSV!$B:$B,$H$2+246)="",NA(),INDEX(CSV!$B:$B,$H$2+246)*1))</f>
        <v/>
      </c>
      <c r="K247">
        <f>IF($H$2="",NA(),IF(INDEX(CSV!$C:$C,$H$2+246)="",NA(),INDEX(CSV!$C:$C,$H$2+246)*1))</f>
        <v/>
      </c>
    </row>
    <row r="248">
      <c r="I248">
        <f>IF($H$2="",NA(),IF(INDEX(CSV!$A:$A,$H$2+247)="",NA(),INDEX(CSV!$A:$A,$H$2+247)*1))</f>
        <v/>
      </c>
      <c r="J248">
        <f>IF($H$2="",NA(),IF(INDEX(CSV!$B:$B,$H$2+247)="",NA(),INDEX(CSV!$B:$B,$H$2+247)*1))</f>
        <v/>
      </c>
      <c r="K248">
        <f>IF($H$2="",NA(),IF(INDEX(CSV!$C:$C,$H$2+247)="",NA(),INDEX(CSV!$C:$C,$H$2+247)*1))</f>
        <v/>
      </c>
    </row>
    <row r="249">
      <c r="I249">
        <f>IF($H$2="",NA(),IF(INDEX(CSV!$A:$A,$H$2+248)="",NA(),INDEX(CSV!$A:$A,$H$2+248)*1))</f>
        <v/>
      </c>
      <c r="J249">
        <f>IF($H$2="",NA(),IF(INDEX(CSV!$B:$B,$H$2+248)="",NA(),INDEX(CSV!$B:$B,$H$2+248)*1))</f>
        <v/>
      </c>
      <c r="K249">
        <f>IF($H$2="",NA(),IF(INDEX(CSV!$C:$C,$H$2+248)="",NA(),INDEX(CSV!$C:$C,$H$2+248)*1))</f>
        <v/>
      </c>
    </row>
    <row r="250">
      <c r="I250">
        <f>IF($H$2="",NA(),IF(INDEX(CSV!$A:$A,$H$2+249)="",NA(),INDEX(CSV!$A:$A,$H$2+249)*1))</f>
        <v/>
      </c>
      <c r="J250">
        <f>IF($H$2="",NA(),IF(INDEX(CSV!$B:$B,$H$2+249)="",NA(),INDEX(CSV!$B:$B,$H$2+249)*1))</f>
        <v/>
      </c>
      <c r="K250">
        <f>IF($H$2="",NA(),IF(INDEX(CSV!$C:$C,$H$2+249)="",NA(),INDEX(CSV!$C:$C,$H$2+249)*1))</f>
        <v/>
      </c>
    </row>
    <row r="251">
      <c r="I251">
        <f>IF($H$2="",NA(),IF(INDEX(CSV!$A:$A,$H$2+250)="",NA(),INDEX(CSV!$A:$A,$H$2+250)*1))</f>
        <v/>
      </c>
      <c r="J251">
        <f>IF($H$2="",NA(),IF(INDEX(CSV!$B:$B,$H$2+250)="",NA(),INDEX(CSV!$B:$B,$H$2+250)*1))</f>
        <v/>
      </c>
      <c r="K251">
        <f>IF($H$2="",NA(),IF(INDEX(CSV!$C:$C,$H$2+250)="",NA(),INDEX(CSV!$C:$C,$H$2+250)*1))</f>
        <v/>
      </c>
    </row>
    <row r="252">
      <c r="I252">
        <f>IF($H$2="",NA(),IF(INDEX(CSV!$A:$A,$H$2+251)="",NA(),INDEX(CSV!$A:$A,$H$2+251)*1))</f>
        <v/>
      </c>
      <c r="J252">
        <f>IF($H$2="",NA(),IF(INDEX(CSV!$B:$B,$H$2+251)="",NA(),INDEX(CSV!$B:$B,$H$2+251)*1))</f>
        <v/>
      </c>
      <c r="K252">
        <f>IF($H$2="",NA(),IF(INDEX(CSV!$C:$C,$H$2+251)="",NA(),INDEX(CSV!$C:$C,$H$2+251)*1))</f>
        <v/>
      </c>
    </row>
    <row r="253">
      <c r="I253">
        <f>IF($H$2="",NA(),IF(INDEX(CSV!$A:$A,$H$2+252)="",NA(),INDEX(CSV!$A:$A,$H$2+252)*1))</f>
        <v/>
      </c>
      <c r="J253">
        <f>IF($H$2="",NA(),IF(INDEX(CSV!$B:$B,$H$2+252)="",NA(),INDEX(CSV!$B:$B,$H$2+252)*1))</f>
        <v/>
      </c>
      <c r="K253">
        <f>IF($H$2="",NA(),IF(INDEX(CSV!$C:$C,$H$2+252)="",NA(),INDEX(CSV!$C:$C,$H$2+252)*1))</f>
        <v/>
      </c>
    </row>
    <row r="254">
      <c r="I254">
        <f>IF($H$2="",NA(),IF(INDEX(CSV!$A:$A,$H$2+253)="",NA(),INDEX(CSV!$A:$A,$H$2+253)*1))</f>
        <v/>
      </c>
      <c r="J254">
        <f>IF($H$2="",NA(),IF(INDEX(CSV!$B:$B,$H$2+253)="",NA(),INDEX(CSV!$B:$B,$H$2+253)*1))</f>
        <v/>
      </c>
      <c r="K254">
        <f>IF($H$2="",NA(),IF(INDEX(CSV!$C:$C,$H$2+253)="",NA(),INDEX(CSV!$C:$C,$H$2+253)*1))</f>
        <v/>
      </c>
    </row>
    <row r="255">
      <c r="I255">
        <f>IF($H$2="",NA(),IF(INDEX(CSV!$A:$A,$H$2+254)="",NA(),INDEX(CSV!$A:$A,$H$2+254)*1))</f>
        <v/>
      </c>
      <c r="J255">
        <f>IF($H$2="",NA(),IF(INDEX(CSV!$B:$B,$H$2+254)="",NA(),INDEX(CSV!$B:$B,$H$2+254)*1))</f>
        <v/>
      </c>
      <c r="K255">
        <f>IF($H$2="",NA(),IF(INDEX(CSV!$C:$C,$H$2+254)="",NA(),INDEX(CSV!$C:$C,$H$2+254)*1))</f>
        <v/>
      </c>
    </row>
    <row r="256">
      <c r="I256">
        <f>IF($H$2="",NA(),IF(INDEX(CSV!$A:$A,$H$2+255)="",NA(),INDEX(CSV!$A:$A,$H$2+255)*1))</f>
        <v/>
      </c>
      <c r="J256">
        <f>IF($H$2="",NA(),IF(INDEX(CSV!$B:$B,$H$2+255)="",NA(),INDEX(CSV!$B:$B,$H$2+255)*1))</f>
        <v/>
      </c>
      <c r="K256">
        <f>IF($H$2="",NA(),IF(INDEX(CSV!$C:$C,$H$2+255)="",NA(),INDEX(CSV!$C:$C,$H$2+255)*1))</f>
        <v/>
      </c>
    </row>
    <row r="257">
      <c r="I257">
        <f>IF($H$2="",NA(),IF(INDEX(CSV!$A:$A,$H$2+256)="",NA(),INDEX(CSV!$A:$A,$H$2+256)*1))</f>
        <v/>
      </c>
      <c r="J257">
        <f>IF($H$2="",NA(),IF(INDEX(CSV!$B:$B,$H$2+256)="",NA(),INDEX(CSV!$B:$B,$H$2+256)*1))</f>
        <v/>
      </c>
      <c r="K257">
        <f>IF($H$2="",NA(),IF(INDEX(CSV!$C:$C,$H$2+256)="",NA(),INDEX(CSV!$C:$C,$H$2+256)*1))</f>
        <v/>
      </c>
    </row>
    <row r="258">
      <c r="I258">
        <f>IF($H$2="",NA(),IF(INDEX(CSV!$A:$A,$H$2+257)="",NA(),INDEX(CSV!$A:$A,$H$2+257)*1))</f>
        <v/>
      </c>
      <c r="J258">
        <f>IF($H$2="",NA(),IF(INDEX(CSV!$B:$B,$H$2+257)="",NA(),INDEX(CSV!$B:$B,$H$2+257)*1))</f>
        <v/>
      </c>
      <c r="K258">
        <f>IF($H$2="",NA(),IF(INDEX(CSV!$C:$C,$H$2+257)="",NA(),INDEX(CSV!$C:$C,$H$2+257)*1))</f>
        <v/>
      </c>
    </row>
    <row r="259">
      <c r="I259">
        <f>IF($H$2="",NA(),IF(INDEX(CSV!$A:$A,$H$2+258)="",NA(),INDEX(CSV!$A:$A,$H$2+258)*1))</f>
        <v/>
      </c>
      <c r="J259">
        <f>IF($H$2="",NA(),IF(INDEX(CSV!$B:$B,$H$2+258)="",NA(),INDEX(CSV!$B:$B,$H$2+258)*1))</f>
        <v/>
      </c>
      <c r="K259">
        <f>IF($H$2="",NA(),IF(INDEX(CSV!$C:$C,$H$2+258)="",NA(),INDEX(CSV!$C:$C,$H$2+258)*1))</f>
        <v/>
      </c>
    </row>
    <row r="260">
      <c r="I260">
        <f>IF($H$2="",NA(),IF(INDEX(CSV!$A:$A,$H$2+259)="",NA(),INDEX(CSV!$A:$A,$H$2+259)*1))</f>
        <v/>
      </c>
      <c r="J260">
        <f>IF($H$2="",NA(),IF(INDEX(CSV!$B:$B,$H$2+259)="",NA(),INDEX(CSV!$B:$B,$H$2+259)*1))</f>
        <v/>
      </c>
      <c r="K260">
        <f>IF($H$2="",NA(),IF(INDEX(CSV!$C:$C,$H$2+259)="",NA(),INDEX(CSV!$C:$C,$H$2+259)*1))</f>
        <v/>
      </c>
    </row>
    <row r="261">
      <c r="I261">
        <f>IF($H$2="",NA(),IF(INDEX(CSV!$A:$A,$H$2+260)="",NA(),INDEX(CSV!$A:$A,$H$2+260)*1))</f>
        <v/>
      </c>
      <c r="J261">
        <f>IF($H$2="",NA(),IF(INDEX(CSV!$B:$B,$H$2+260)="",NA(),INDEX(CSV!$B:$B,$H$2+260)*1))</f>
        <v/>
      </c>
      <c r="K261">
        <f>IF($H$2="",NA(),IF(INDEX(CSV!$C:$C,$H$2+260)="",NA(),INDEX(CSV!$C:$C,$H$2+260)*1))</f>
        <v/>
      </c>
    </row>
    <row r="262">
      <c r="I262">
        <f>IF($H$2="",NA(),IF(INDEX(CSV!$A:$A,$H$2+261)="",NA(),INDEX(CSV!$A:$A,$H$2+261)*1))</f>
        <v/>
      </c>
      <c r="J262">
        <f>IF($H$2="",NA(),IF(INDEX(CSV!$B:$B,$H$2+261)="",NA(),INDEX(CSV!$B:$B,$H$2+261)*1))</f>
        <v/>
      </c>
      <c r="K262">
        <f>IF($H$2="",NA(),IF(INDEX(CSV!$C:$C,$H$2+261)="",NA(),INDEX(CSV!$C:$C,$H$2+261)*1))</f>
        <v/>
      </c>
    </row>
    <row r="263">
      <c r="I263">
        <f>IF($H$2="",NA(),IF(INDEX(CSV!$A:$A,$H$2+262)="",NA(),INDEX(CSV!$A:$A,$H$2+262)*1))</f>
        <v/>
      </c>
      <c r="J263">
        <f>IF($H$2="",NA(),IF(INDEX(CSV!$B:$B,$H$2+262)="",NA(),INDEX(CSV!$B:$B,$H$2+262)*1))</f>
        <v/>
      </c>
      <c r="K263">
        <f>IF($H$2="",NA(),IF(INDEX(CSV!$C:$C,$H$2+262)="",NA(),INDEX(CSV!$C:$C,$H$2+262)*1))</f>
        <v/>
      </c>
    </row>
    <row r="264">
      <c r="I264">
        <f>IF($H$2="",NA(),IF(INDEX(CSV!$A:$A,$H$2+263)="",NA(),INDEX(CSV!$A:$A,$H$2+263)*1))</f>
        <v/>
      </c>
      <c r="J264">
        <f>IF($H$2="",NA(),IF(INDEX(CSV!$B:$B,$H$2+263)="",NA(),INDEX(CSV!$B:$B,$H$2+263)*1))</f>
        <v/>
      </c>
      <c r="K264">
        <f>IF($H$2="",NA(),IF(INDEX(CSV!$C:$C,$H$2+263)="",NA(),INDEX(CSV!$C:$C,$H$2+263)*1))</f>
        <v/>
      </c>
    </row>
    <row r="265">
      <c r="I265">
        <f>IF($H$2="",NA(),IF(INDEX(CSV!$A:$A,$H$2+264)="",NA(),INDEX(CSV!$A:$A,$H$2+264)*1))</f>
        <v/>
      </c>
      <c r="J265">
        <f>IF($H$2="",NA(),IF(INDEX(CSV!$B:$B,$H$2+264)="",NA(),INDEX(CSV!$B:$B,$H$2+264)*1))</f>
        <v/>
      </c>
      <c r="K265">
        <f>IF($H$2="",NA(),IF(INDEX(CSV!$C:$C,$H$2+264)="",NA(),INDEX(CSV!$C:$C,$H$2+264)*1))</f>
        <v/>
      </c>
    </row>
    <row r="266">
      <c r="I266">
        <f>IF($H$2="",NA(),IF(INDEX(CSV!$A:$A,$H$2+265)="",NA(),INDEX(CSV!$A:$A,$H$2+265)*1))</f>
        <v/>
      </c>
      <c r="J266">
        <f>IF($H$2="",NA(),IF(INDEX(CSV!$B:$B,$H$2+265)="",NA(),INDEX(CSV!$B:$B,$H$2+265)*1))</f>
        <v/>
      </c>
      <c r="K266">
        <f>IF($H$2="",NA(),IF(INDEX(CSV!$C:$C,$H$2+265)="",NA(),INDEX(CSV!$C:$C,$H$2+265)*1))</f>
        <v/>
      </c>
    </row>
    <row r="267">
      <c r="I267">
        <f>IF($H$2="",NA(),IF(INDEX(CSV!$A:$A,$H$2+266)="",NA(),INDEX(CSV!$A:$A,$H$2+266)*1))</f>
        <v/>
      </c>
      <c r="J267">
        <f>IF($H$2="",NA(),IF(INDEX(CSV!$B:$B,$H$2+266)="",NA(),INDEX(CSV!$B:$B,$H$2+266)*1))</f>
        <v/>
      </c>
      <c r="K267">
        <f>IF($H$2="",NA(),IF(INDEX(CSV!$C:$C,$H$2+266)="",NA(),INDEX(CSV!$C:$C,$H$2+266)*1))</f>
        <v/>
      </c>
    </row>
    <row r="268">
      <c r="I268">
        <f>IF($H$2="",NA(),IF(INDEX(CSV!$A:$A,$H$2+267)="",NA(),INDEX(CSV!$A:$A,$H$2+267)*1))</f>
        <v/>
      </c>
      <c r="J268">
        <f>IF($H$2="",NA(),IF(INDEX(CSV!$B:$B,$H$2+267)="",NA(),INDEX(CSV!$B:$B,$H$2+267)*1))</f>
        <v/>
      </c>
      <c r="K268">
        <f>IF($H$2="",NA(),IF(INDEX(CSV!$C:$C,$H$2+267)="",NA(),INDEX(CSV!$C:$C,$H$2+267)*1))</f>
        <v/>
      </c>
    </row>
    <row r="269">
      <c r="I269">
        <f>IF($H$2="",NA(),IF(INDEX(CSV!$A:$A,$H$2+268)="",NA(),INDEX(CSV!$A:$A,$H$2+268)*1))</f>
        <v/>
      </c>
      <c r="J269">
        <f>IF($H$2="",NA(),IF(INDEX(CSV!$B:$B,$H$2+268)="",NA(),INDEX(CSV!$B:$B,$H$2+268)*1))</f>
        <v/>
      </c>
      <c r="K269">
        <f>IF($H$2="",NA(),IF(INDEX(CSV!$C:$C,$H$2+268)="",NA(),INDEX(CSV!$C:$C,$H$2+268)*1))</f>
        <v/>
      </c>
    </row>
    <row r="270">
      <c r="I270">
        <f>IF($H$2="",NA(),IF(INDEX(CSV!$A:$A,$H$2+269)="",NA(),INDEX(CSV!$A:$A,$H$2+269)*1))</f>
        <v/>
      </c>
      <c r="J270">
        <f>IF($H$2="",NA(),IF(INDEX(CSV!$B:$B,$H$2+269)="",NA(),INDEX(CSV!$B:$B,$H$2+269)*1))</f>
        <v/>
      </c>
      <c r="K270">
        <f>IF($H$2="",NA(),IF(INDEX(CSV!$C:$C,$H$2+269)="",NA(),INDEX(CSV!$C:$C,$H$2+269)*1))</f>
        <v/>
      </c>
    </row>
    <row r="271">
      <c r="I271">
        <f>IF($H$2="",NA(),IF(INDEX(CSV!$A:$A,$H$2+270)="",NA(),INDEX(CSV!$A:$A,$H$2+270)*1))</f>
        <v/>
      </c>
      <c r="J271">
        <f>IF($H$2="",NA(),IF(INDEX(CSV!$B:$B,$H$2+270)="",NA(),INDEX(CSV!$B:$B,$H$2+270)*1))</f>
        <v/>
      </c>
      <c r="K271">
        <f>IF($H$2="",NA(),IF(INDEX(CSV!$C:$C,$H$2+270)="",NA(),INDEX(CSV!$C:$C,$H$2+270)*1))</f>
        <v/>
      </c>
    </row>
    <row r="272">
      <c r="I272">
        <f>IF($H$2="",NA(),IF(INDEX(CSV!$A:$A,$H$2+271)="",NA(),INDEX(CSV!$A:$A,$H$2+271)*1))</f>
        <v/>
      </c>
      <c r="J272">
        <f>IF($H$2="",NA(),IF(INDEX(CSV!$B:$B,$H$2+271)="",NA(),INDEX(CSV!$B:$B,$H$2+271)*1))</f>
        <v/>
      </c>
      <c r="K272">
        <f>IF($H$2="",NA(),IF(INDEX(CSV!$C:$C,$H$2+271)="",NA(),INDEX(CSV!$C:$C,$H$2+271)*1))</f>
        <v/>
      </c>
    </row>
    <row r="273">
      <c r="I273">
        <f>IF($H$2="",NA(),IF(INDEX(CSV!$A:$A,$H$2+272)="",NA(),INDEX(CSV!$A:$A,$H$2+272)*1))</f>
        <v/>
      </c>
      <c r="J273">
        <f>IF($H$2="",NA(),IF(INDEX(CSV!$B:$B,$H$2+272)="",NA(),INDEX(CSV!$B:$B,$H$2+272)*1))</f>
        <v/>
      </c>
      <c r="K273">
        <f>IF($H$2="",NA(),IF(INDEX(CSV!$C:$C,$H$2+272)="",NA(),INDEX(CSV!$C:$C,$H$2+272)*1))</f>
        <v/>
      </c>
    </row>
    <row r="274">
      <c r="I274">
        <f>IF($H$2="",NA(),IF(INDEX(CSV!$A:$A,$H$2+273)="",NA(),INDEX(CSV!$A:$A,$H$2+273)*1))</f>
        <v/>
      </c>
      <c r="J274">
        <f>IF($H$2="",NA(),IF(INDEX(CSV!$B:$B,$H$2+273)="",NA(),INDEX(CSV!$B:$B,$H$2+273)*1))</f>
        <v/>
      </c>
      <c r="K274">
        <f>IF($H$2="",NA(),IF(INDEX(CSV!$C:$C,$H$2+273)="",NA(),INDEX(CSV!$C:$C,$H$2+273)*1))</f>
        <v/>
      </c>
    </row>
    <row r="275">
      <c r="I275">
        <f>IF($H$2="",NA(),IF(INDEX(CSV!$A:$A,$H$2+274)="",NA(),INDEX(CSV!$A:$A,$H$2+274)*1))</f>
        <v/>
      </c>
      <c r="J275">
        <f>IF($H$2="",NA(),IF(INDEX(CSV!$B:$B,$H$2+274)="",NA(),INDEX(CSV!$B:$B,$H$2+274)*1))</f>
        <v/>
      </c>
      <c r="K275">
        <f>IF($H$2="",NA(),IF(INDEX(CSV!$C:$C,$H$2+274)="",NA(),INDEX(CSV!$C:$C,$H$2+274)*1))</f>
        <v/>
      </c>
    </row>
    <row r="276">
      <c r="I276">
        <f>IF($H$2="",NA(),IF(INDEX(CSV!$A:$A,$H$2+275)="",NA(),INDEX(CSV!$A:$A,$H$2+275)*1))</f>
        <v/>
      </c>
      <c r="J276">
        <f>IF($H$2="",NA(),IF(INDEX(CSV!$B:$B,$H$2+275)="",NA(),INDEX(CSV!$B:$B,$H$2+275)*1))</f>
        <v/>
      </c>
      <c r="K276">
        <f>IF($H$2="",NA(),IF(INDEX(CSV!$C:$C,$H$2+275)="",NA(),INDEX(CSV!$C:$C,$H$2+275)*1))</f>
        <v/>
      </c>
    </row>
    <row r="277">
      <c r="I277">
        <f>IF($H$2="",NA(),IF(INDEX(CSV!$A:$A,$H$2+276)="",NA(),INDEX(CSV!$A:$A,$H$2+276)*1))</f>
        <v/>
      </c>
      <c r="J277">
        <f>IF($H$2="",NA(),IF(INDEX(CSV!$B:$B,$H$2+276)="",NA(),INDEX(CSV!$B:$B,$H$2+276)*1))</f>
        <v/>
      </c>
      <c r="K277">
        <f>IF($H$2="",NA(),IF(INDEX(CSV!$C:$C,$H$2+276)="",NA(),INDEX(CSV!$C:$C,$H$2+276)*1))</f>
        <v/>
      </c>
    </row>
    <row r="278">
      <c r="I278">
        <f>IF($H$2="",NA(),IF(INDEX(CSV!$A:$A,$H$2+277)="",NA(),INDEX(CSV!$A:$A,$H$2+277)*1))</f>
        <v/>
      </c>
      <c r="J278">
        <f>IF($H$2="",NA(),IF(INDEX(CSV!$B:$B,$H$2+277)="",NA(),INDEX(CSV!$B:$B,$H$2+277)*1))</f>
        <v/>
      </c>
      <c r="K278">
        <f>IF($H$2="",NA(),IF(INDEX(CSV!$C:$C,$H$2+277)="",NA(),INDEX(CSV!$C:$C,$H$2+277)*1))</f>
        <v/>
      </c>
    </row>
    <row r="279">
      <c r="I279">
        <f>IF($H$2="",NA(),IF(INDEX(CSV!$A:$A,$H$2+278)="",NA(),INDEX(CSV!$A:$A,$H$2+278)*1))</f>
        <v/>
      </c>
      <c r="J279">
        <f>IF($H$2="",NA(),IF(INDEX(CSV!$B:$B,$H$2+278)="",NA(),INDEX(CSV!$B:$B,$H$2+278)*1))</f>
        <v/>
      </c>
      <c r="K279">
        <f>IF($H$2="",NA(),IF(INDEX(CSV!$C:$C,$H$2+278)="",NA(),INDEX(CSV!$C:$C,$H$2+278)*1))</f>
        <v/>
      </c>
    </row>
    <row r="280">
      <c r="I280">
        <f>IF($H$2="",NA(),IF(INDEX(CSV!$A:$A,$H$2+279)="",NA(),INDEX(CSV!$A:$A,$H$2+279)*1))</f>
        <v/>
      </c>
      <c r="J280">
        <f>IF($H$2="",NA(),IF(INDEX(CSV!$B:$B,$H$2+279)="",NA(),INDEX(CSV!$B:$B,$H$2+279)*1))</f>
        <v/>
      </c>
      <c r="K280">
        <f>IF($H$2="",NA(),IF(INDEX(CSV!$C:$C,$H$2+279)="",NA(),INDEX(CSV!$C:$C,$H$2+279)*1))</f>
        <v/>
      </c>
    </row>
    <row r="281">
      <c r="I281">
        <f>IF($H$2="",NA(),IF(INDEX(CSV!$A:$A,$H$2+280)="",NA(),INDEX(CSV!$A:$A,$H$2+280)*1))</f>
        <v/>
      </c>
      <c r="J281">
        <f>IF($H$2="",NA(),IF(INDEX(CSV!$B:$B,$H$2+280)="",NA(),INDEX(CSV!$B:$B,$H$2+280)*1))</f>
        <v/>
      </c>
      <c r="K281">
        <f>IF($H$2="",NA(),IF(INDEX(CSV!$C:$C,$H$2+280)="",NA(),INDEX(CSV!$C:$C,$H$2+280)*1))</f>
        <v/>
      </c>
    </row>
    <row r="282">
      <c r="I282">
        <f>IF($H$2="",NA(),IF(INDEX(CSV!$A:$A,$H$2+281)="",NA(),INDEX(CSV!$A:$A,$H$2+281)*1))</f>
        <v/>
      </c>
      <c r="J282">
        <f>IF($H$2="",NA(),IF(INDEX(CSV!$B:$B,$H$2+281)="",NA(),INDEX(CSV!$B:$B,$H$2+281)*1))</f>
        <v/>
      </c>
      <c r="K282">
        <f>IF($H$2="",NA(),IF(INDEX(CSV!$C:$C,$H$2+281)="",NA(),INDEX(CSV!$C:$C,$H$2+281)*1))</f>
        <v/>
      </c>
    </row>
    <row r="283">
      <c r="I283">
        <f>IF($H$2="",NA(),IF(INDEX(CSV!$A:$A,$H$2+282)="",NA(),INDEX(CSV!$A:$A,$H$2+282)*1))</f>
        <v/>
      </c>
      <c r="J283">
        <f>IF($H$2="",NA(),IF(INDEX(CSV!$B:$B,$H$2+282)="",NA(),INDEX(CSV!$B:$B,$H$2+282)*1))</f>
        <v/>
      </c>
      <c r="K283">
        <f>IF($H$2="",NA(),IF(INDEX(CSV!$C:$C,$H$2+282)="",NA(),INDEX(CSV!$C:$C,$H$2+282)*1))</f>
        <v/>
      </c>
    </row>
    <row r="284">
      <c r="I284">
        <f>IF($H$2="",NA(),IF(INDEX(CSV!$A:$A,$H$2+283)="",NA(),INDEX(CSV!$A:$A,$H$2+283)*1))</f>
        <v/>
      </c>
      <c r="J284">
        <f>IF($H$2="",NA(),IF(INDEX(CSV!$B:$B,$H$2+283)="",NA(),INDEX(CSV!$B:$B,$H$2+283)*1))</f>
        <v/>
      </c>
      <c r="K284">
        <f>IF($H$2="",NA(),IF(INDEX(CSV!$C:$C,$H$2+283)="",NA(),INDEX(CSV!$C:$C,$H$2+283)*1))</f>
        <v/>
      </c>
    </row>
    <row r="285">
      <c r="I285">
        <f>IF($H$2="",NA(),IF(INDEX(CSV!$A:$A,$H$2+284)="",NA(),INDEX(CSV!$A:$A,$H$2+284)*1))</f>
        <v/>
      </c>
      <c r="J285">
        <f>IF($H$2="",NA(),IF(INDEX(CSV!$B:$B,$H$2+284)="",NA(),INDEX(CSV!$B:$B,$H$2+284)*1))</f>
        <v/>
      </c>
      <c r="K285">
        <f>IF($H$2="",NA(),IF(INDEX(CSV!$C:$C,$H$2+284)="",NA(),INDEX(CSV!$C:$C,$H$2+284)*1))</f>
        <v/>
      </c>
    </row>
    <row r="286">
      <c r="I286">
        <f>IF($H$2="",NA(),IF(INDEX(CSV!$A:$A,$H$2+285)="",NA(),INDEX(CSV!$A:$A,$H$2+285)*1))</f>
        <v/>
      </c>
      <c r="J286">
        <f>IF($H$2="",NA(),IF(INDEX(CSV!$B:$B,$H$2+285)="",NA(),INDEX(CSV!$B:$B,$H$2+285)*1))</f>
        <v/>
      </c>
      <c r="K286">
        <f>IF($H$2="",NA(),IF(INDEX(CSV!$C:$C,$H$2+285)="",NA(),INDEX(CSV!$C:$C,$H$2+285)*1))</f>
        <v/>
      </c>
    </row>
    <row r="287">
      <c r="I287">
        <f>IF($H$2="",NA(),IF(INDEX(CSV!$A:$A,$H$2+286)="",NA(),INDEX(CSV!$A:$A,$H$2+286)*1))</f>
        <v/>
      </c>
      <c r="J287">
        <f>IF($H$2="",NA(),IF(INDEX(CSV!$B:$B,$H$2+286)="",NA(),INDEX(CSV!$B:$B,$H$2+286)*1))</f>
        <v/>
      </c>
      <c r="K287">
        <f>IF($H$2="",NA(),IF(INDEX(CSV!$C:$C,$H$2+286)="",NA(),INDEX(CSV!$C:$C,$H$2+286)*1))</f>
        <v/>
      </c>
    </row>
    <row r="288">
      <c r="I288">
        <f>IF($H$2="",NA(),IF(INDEX(CSV!$A:$A,$H$2+287)="",NA(),INDEX(CSV!$A:$A,$H$2+287)*1))</f>
        <v/>
      </c>
      <c r="J288">
        <f>IF($H$2="",NA(),IF(INDEX(CSV!$B:$B,$H$2+287)="",NA(),INDEX(CSV!$B:$B,$H$2+287)*1))</f>
        <v/>
      </c>
      <c r="K288">
        <f>IF($H$2="",NA(),IF(INDEX(CSV!$C:$C,$H$2+287)="",NA(),INDEX(CSV!$C:$C,$H$2+287)*1))</f>
        <v/>
      </c>
    </row>
    <row r="289">
      <c r="I289">
        <f>IF($H$2="",NA(),IF(INDEX(CSV!$A:$A,$H$2+288)="",NA(),INDEX(CSV!$A:$A,$H$2+288)*1))</f>
        <v/>
      </c>
      <c r="J289">
        <f>IF($H$2="",NA(),IF(INDEX(CSV!$B:$B,$H$2+288)="",NA(),INDEX(CSV!$B:$B,$H$2+288)*1))</f>
        <v/>
      </c>
      <c r="K289">
        <f>IF($H$2="",NA(),IF(INDEX(CSV!$C:$C,$H$2+288)="",NA(),INDEX(CSV!$C:$C,$H$2+288)*1))</f>
        <v/>
      </c>
    </row>
    <row r="290">
      <c r="I290">
        <f>IF($H$2="",NA(),IF(INDEX(CSV!$A:$A,$H$2+289)="",NA(),INDEX(CSV!$A:$A,$H$2+289)*1))</f>
        <v/>
      </c>
      <c r="J290">
        <f>IF($H$2="",NA(),IF(INDEX(CSV!$B:$B,$H$2+289)="",NA(),INDEX(CSV!$B:$B,$H$2+289)*1))</f>
        <v/>
      </c>
      <c r="K290">
        <f>IF($H$2="",NA(),IF(INDEX(CSV!$C:$C,$H$2+289)="",NA(),INDEX(CSV!$C:$C,$H$2+289)*1))</f>
        <v/>
      </c>
    </row>
    <row r="291">
      <c r="I291">
        <f>IF($H$2="",NA(),IF(INDEX(CSV!$A:$A,$H$2+290)="",NA(),INDEX(CSV!$A:$A,$H$2+290)*1))</f>
        <v/>
      </c>
      <c r="J291">
        <f>IF($H$2="",NA(),IF(INDEX(CSV!$B:$B,$H$2+290)="",NA(),INDEX(CSV!$B:$B,$H$2+290)*1))</f>
        <v/>
      </c>
      <c r="K291">
        <f>IF($H$2="",NA(),IF(INDEX(CSV!$C:$C,$H$2+290)="",NA(),INDEX(CSV!$C:$C,$H$2+290)*1))</f>
        <v/>
      </c>
    </row>
    <row r="292">
      <c r="I292">
        <f>IF($H$2="",NA(),IF(INDEX(CSV!$A:$A,$H$2+291)="",NA(),INDEX(CSV!$A:$A,$H$2+291)*1))</f>
        <v/>
      </c>
      <c r="J292">
        <f>IF($H$2="",NA(),IF(INDEX(CSV!$B:$B,$H$2+291)="",NA(),INDEX(CSV!$B:$B,$H$2+291)*1))</f>
        <v/>
      </c>
      <c r="K292">
        <f>IF($H$2="",NA(),IF(INDEX(CSV!$C:$C,$H$2+291)="",NA(),INDEX(CSV!$C:$C,$H$2+291)*1))</f>
        <v/>
      </c>
    </row>
    <row r="293">
      <c r="I293">
        <f>IF($H$2="",NA(),IF(INDEX(CSV!$A:$A,$H$2+292)="",NA(),INDEX(CSV!$A:$A,$H$2+292)*1))</f>
        <v/>
      </c>
      <c r="J293">
        <f>IF($H$2="",NA(),IF(INDEX(CSV!$B:$B,$H$2+292)="",NA(),INDEX(CSV!$B:$B,$H$2+292)*1))</f>
        <v/>
      </c>
      <c r="K293">
        <f>IF($H$2="",NA(),IF(INDEX(CSV!$C:$C,$H$2+292)="",NA(),INDEX(CSV!$C:$C,$H$2+292)*1))</f>
        <v/>
      </c>
    </row>
    <row r="294">
      <c r="I294">
        <f>IF($H$2="",NA(),IF(INDEX(CSV!$A:$A,$H$2+293)="",NA(),INDEX(CSV!$A:$A,$H$2+293)*1))</f>
        <v/>
      </c>
      <c r="J294">
        <f>IF($H$2="",NA(),IF(INDEX(CSV!$B:$B,$H$2+293)="",NA(),INDEX(CSV!$B:$B,$H$2+293)*1))</f>
        <v/>
      </c>
      <c r="K294">
        <f>IF($H$2="",NA(),IF(INDEX(CSV!$C:$C,$H$2+293)="",NA(),INDEX(CSV!$C:$C,$H$2+293)*1))</f>
        <v/>
      </c>
    </row>
    <row r="295">
      <c r="I295">
        <f>IF($H$2="",NA(),IF(INDEX(CSV!$A:$A,$H$2+294)="",NA(),INDEX(CSV!$A:$A,$H$2+294)*1))</f>
        <v/>
      </c>
      <c r="J295">
        <f>IF($H$2="",NA(),IF(INDEX(CSV!$B:$B,$H$2+294)="",NA(),INDEX(CSV!$B:$B,$H$2+294)*1))</f>
        <v/>
      </c>
      <c r="K295">
        <f>IF($H$2="",NA(),IF(INDEX(CSV!$C:$C,$H$2+294)="",NA(),INDEX(CSV!$C:$C,$H$2+294)*1))</f>
        <v/>
      </c>
    </row>
    <row r="296">
      <c r="I296">
        <f>IF($H$2="",NA(),IF(INDEX(CSV!$A:$A,$H$2+295)="",NA(),INDEX(CSV!$A:$A,$H$2+295)*1))</f>
        <v/>
      </c>
      <c r="J296">
        <f>IF($H$2="",NA(),IF(INDEX(CSV!$B:$B,$H$2+295)="",NA(),INDEX(CSV!$B:$B,$H$2+295)*1))</f>
        <v/>
      </c>
      <c r="K296">
        <f>IF($H$2="",NA(),IF(INDEX(CSV!$C:$C,$H$2+295)="",NA(),INDEX(CSV!$C:$C,$H$2+295)*1))</f>
        <v/>
      </c>
    </row>
    <row r="297">
      <c r="I297">
        <f>IF($H$2="",NA(),IF(INDEX(CSV!$A:$A,$H$2+296)="",NA(),INDEX(CSV!$A:$A,$H$2+296)*1))</f>
        <v/>
      </c>
      <c r="J297">
        <f>IF($H$2="",NA(),IF(INDEX(CSV!$B:$B,$H$2+296)="",NA(),INDEX(CSV!$B:$B,$H$2+296)*1))</f>
        <v/>
      </c>
      <c r="K297">
        <f>IF($H$2="",NA(),IF(INDEX(CSV!$C:$C,$H$2+296)="",NA(),INDEX(CSV!$C:$C,$H$2+296)*1))</f>
        <v/>
      </c>
    </row>
    <row r="298">
      <c r="I298">
        <f>IF($H$2="",NA(),IF(INDEX(CSV!$A:$A,$H$2+297)="",NA(),INDEX(CSV!$A:$A,$H$2+297)*1))</f>
        <v/>
      </c>
      <c r="J298">
        <f>IF($H$2="",NA(),IF(INDEX(CSV!$B:$B,$H$2+297)="",NA(),INDEX(CSV!$B:$B,$H$2+297)*1))</f>
        <v/>
      </c>
      <c r="K298">
        <f>IF($H$2="",NA(),IF(INDEX(CSV!$C:$C,$H$2+297)="",NA(),INDEX(CSV!$C:$C,$H$2+297)*1))</f>
        <v/>
      </c>
    </row>
    <row r="299">
      <c r="I299">
        <f>IF($H$2="",NA(),IF(INDEX(CSV!$A:$A,$H$2+298)="",NA(),INDEX(CSV!$A:$A,$H$2+298)*1))</f>
        <v/>
      </c>
      <c r="J299">
        <f>IF($H$2="",NA(),IF(INDEX(CSV!$B:$B,$H$2+298)="",NA(),INDEX(CSV!$B:$B,$H$2+298)*1))</f>
        <v/>
      </c>
      <c r="K299">
        <f>IF($H$2="",NA(),IF(INDEX(CSV!$C:$C,$H$2+298)="",NA(),INDEX(CSV!$C:$C,$H$2+298)*1))</f>
        <v/>
      </c>
    </row>
    <row r="300">
      <c r="I300">
        <f>IF($H$2="",NA(),IF(INDEX(CSV!$A:$A,$H$2+299)="",NA(),INDEX(CSV!$A:$A,$H$2+299)*1))</f>
        <v/>
      </c>
      <c r="J300">
        <f>IF($H$2="",NA(),IF(INDEX(CSV!$B:$B,$H$2+299)="",NA(),INDEX(CSV!$B:$B,$H$2+299)*1))</f>
        <v/>
      </c>
      <c r="K300">
        <f>IF($H$2="",NA(),IF(INDEX(CSV!$C:$C,$H$2+299)="",NA(),INDEX(CSV!$C:$C,$H$2+299)*1))</f>
        <v/>
      </c>
    </row>
    <row r="301">
      <c r="I301">
        <f>IF($H$2="",NA(),IF(INDEX(CSV!$A:$A,$H$2+300)="",NA(),INDEX(CSV!$A:$A,$H$2+300)*1))</f>
        <v/>
      </c>
      <c r="J301">
        <f>IF($H$2="",NA(),IF(INDEX(CSV!$B:$B,$H$2+300)="",NA(),INDEX(CSV!$B:$B,$H$2+300)*1))</f>
        <v/>
      </c>
      <c r="K301">
        <f>IF($H$2="",NA(),IF(INDEX(CSV!$C:$C,$H$2+300)="",NA(),INDEX(CSV!$C:$C,$H$2+300)*1))</f>
        <v/>
      </c>
    </row>
    <row r="302">
      <c r="I302">
        <f>IF($H$2="",NA(),IF(INDEX(CSV!$A:$A,$H$2+301)="",NA(),INDEX(CSV!$A:$A,$H$2+301)*1))</f>
        <v/>
      </c>
      <c r="J302">
        <f>IF($H$2="",NA(),IF(INDEX(CSV!$B:$B,$H$2+301)="",NA(),INDEX(CSV!$B:$B,$H$2+301)*1))</f>
        <v/>
      </c>
      <c r="K302">
        <f>IF($H$2="",NA(),IF(INDEX(CSV!$C:$C,$H$2+301)="",NA(),INDEX(CSV!$C:$C,$H$2+301)*1))</f>
        <v/>
      </c>
    </row>
    <row r="303">
      <c r="I303">
        <f>IF($H$2="",NA(),IF(INDEX(CSV!$A:$A,$H$2+302)="",NA(),INDEX(CSV!$A:$A,$H$2+302)*1))</f>
        <v/>
      </c>
      <c r="J303">
        <f>IF($H$2="",NA(),IF(INDEX(CSV!$B:$B,$H$2+302)="",NA(),INDEX(CSV!$B:$B,$H$2+302)*1))</f>
        <v/>
      </c>
      <c r="K303">
        <f>IF($H$2="",NA(),IF(INDEX(CSV!$C:$C,$H$2+302)="",NA(),INDEX(CSV!$C:$C,$H$2+302)*1))</f>
        <v/>
      </c>
    </row>
    <row r="304">
      <c r="I304">
        <f>IF($H$2="",NA(),IF(INDEX(CSV!$A:$A,$H$2+303)="",NA(),INDEX(CSV!$A:$A,$H$2+303)*1))</f>
        <v/>
      </c>
      <c r="J304">
        <f>IF($H$2="",NA(),IF(INDEX(CSV!$B:$B,$H$2+303)="",NA(),INDEX(CSV!$B:$B,$H$2+303)*1))</f>
        <v/>
      </c>
      <c r="K304">
        <f>IF($H$2="",NA(),IF(INDEX(CSV!$C:$C,$H$2+303)="",NA(),INDEX(CSV!$C:$C,$H$2+303)*1))</f>
        <v/>
      </c>
    </row>
    <row r="305">
      <c r="I305">
        <f>IF($H$2="",NA(),IF(INDEX(CSV!$A:$A,$H$2+304)="",NA(),INDEX(CSV!$A:$A,$H$2+304)*1))</f>
        <v/>
      </c>
      <c r="J305">
        <f>IF($H$2="",NA(),IF(INDEX(CSV!$B:$B,$H$2+304)="",NA(),INDEX(CSV!$B:$B,$H$2+304)*1))</f>
        <v/>
      </c>
      <c r="K305">
        <f>IF($H$2="",NA(),IF(INDEX(CSV!$C:$C,$H$2+304)="",NA(),INDEX(CSV!$C:$C,$H$2+304)*1))</f>
        <v/>
      </c>
    </row>
    <row r="306">
      <c r="I306">
        <f>IF($H$2="",NA(),IF(INDEX(CSV!$A:$A,$H$2+305)="",NA(),INDEX(CSV!$A:$A,$H$2+305)*1))</f>
        <v/>
      </c>
      <c r="J306">
        <f>IF($H$2="",NA(),IF(INDEX(CSV!$B:$B,$H$2+305)="",NA(),INDEX(CSV!$B:$B,$H$2+305)*1))</f>
        <v/>
      </c>
      <c r="K306">
        <f>IF($H$2="",NA(),IF(INDEX(CSV!$C:$C,$H$2+305)="",NA(),INDEX(CSV!$C:$C,$H$2+305)*1))</f>
        <v/>
      </c>
    </row>
    <row r="307">
      <c r="I307">
        <f>IF($H$2="",NA(),IF(INDEX(CSV!$A:$A,$H$2+306)="",NA(),INDEX(CSV!$A:$A,$H$2+306)*1))</f>
        <v/>
      </c>
      <c r="J307">
        <f>IF($H$2="",NA(),IF(INDEX(CSV!$B:$B,$H$2+306)="",NA(),INDEX(CSV!$B:$B,$H$2+306)*1))</f>
        <v/>
      </c>
      <c r="K307">
        <f>IF($H$2="",NA(),IF(INDEX(CSV!$C:$C,$H$2+306)="",NA(),INDEX(CSV!$C:$C,$H$2+306)*1))</f>
        <v/>
      </c>
    </row>
    <row r="308">
      <c r="I308">
        <f>IF($H$2="",NA(),IF(INDEX(CSV!$A:$A,$H$2+307)="",NA(),INDEX(CSV!$A:$A,$H$2+307)*1))</f>
        <v/>
      </c>
      <c r="J308">
        <f>IF($H$2="",NA(),IF(INDEX(CSV!$B:$B,$H$2+307)="",NA(),INDEX(CSV!$B:$B,$H$2+307)*1))</f>
        <v/>
      </c>
      <c r="K308">
        <f>IF($H$2="",NA(),IF(INDEX(CSV!$C:$C,$H$2+307)="",NA(),INDEX(CSV!$C:$C,$H$2+307)*1))</f>
        <v/>
      </c>
    </row>
    <row r="309">
      <c r="I309">
        <f>IF($H$2="",NA(),IF(INDEX(CSV!$A:$A,$H$2+308)="",NA(),INDEX(CSV!$A:$A,$H$2+308)*1))</f>
        <v/>
      </c>
      <c r="J309">
        <f>IF($H$2="",NA(),IF(INDEX(CSV!$B:$B,$H$2+308)="",NA(),INDEX(CSV!$B:$B,$H$2+308)*1))</f>
        <v/>
      </c>
      <c r="K309">
        <f>IF($H$2="",NA(),IF(INDEX(CSV!$C:$C,$H$2+308)="",NA(),INDEX(CSV!$C:$C,$H$2+308)*1))</f>
        <v/>
      </c>
    </row>
    <row r="310">
      <c r="I310">
        <f>IF($H$2="",NA(),IF(INDEX(CSV!$A:$A,$H$2+309)="",NA(),INDEX(CSV!$A:$A,$H$2+309)*1))</f>
        <v/>
      </c>
      <c r="J310">
        <f>IF($H$2="",NA(),IF(INDEX(CSV!$B:$B,$H$2+309)="",NA(),INDEX(CSV!$B:$B,$H$2+309)*1))</f>
        <v/>
      </c>
      <c r="K310">
        <f>IF($H$2="",NA(),IF(INDEX(CSV!$C:$C,$H$2+309)="",NA(),INDEX(CSV!$C:$C,$H$2+309)*1))</f>
        <v/>
      </c>
    </row>
    <row r="311">
      <c r="I311">
        <f>IF($H$2="",NA(),IF(INDEX(CSV!$A:$A,$H$2+310)="",NA(),INDEX(CSV!$A:$A,$H$2+310)*1))</f>
        <v/>
      </c>
      <c r="J311">
        <f>IF($H$2="",NA(),IF(INDEX(CSV!$B:$B,$H$2+310)="",NA(),INDEX(CSV!$B:$B,$H$2+310)*1))</f>
        <v/>
      </c>
      <c r="K311">
        <f>IF($H$2="",NA(),IF(INDEX(CSV!$C:$C,$H$2+310)="",NA(),INDEX(CSV!$C:$C,$H$2+310)*1))</f>
        <v/>
      </c>
    </row>
    <row r="312">
      <c r="I312">
        <f>IF($H$2="",NA(),IF(INDEX(CSV!$A:$A,$H$2+311)="",NA(),INDEX(CSV!$A:$A,$H$2+311)*1))</f>
        <v/>
      </c>
      <c r="J312">
        <f>IF($H$2="",NA(),IF(INDEX(CSV!$B:$B,$H$2+311)="",NA(),INDEX(CSV!$B:$B,$H$2+311)*1))</f>
        <v/>
      </c>
      <c r="K312">
        <f>IF($H$2="",NA(),IF(INDEX(CSV!$C:$C,$H$2+311)="",NA(),INDEX(CSV!$C:$C,$H$2+311)*1))</f>
        <v/>
      </c>
    </row>
    <row r="313">
      <c r="I313">
        <f>IF($H$2="",NA(),IF(INDEX(CSV!$A:$A,$H$2+312)="",NA(),INDEX(CSV!$A:$A,$H$2+312)*1))</f>
        <v/>
      </c>
      <c r="J313">
        <f>IF($H$2="",NA(),IF(INDEX(CSV!$B:$B,$H$2+312)="",NA(),INDEX(CSV!$B:$B,$H$2+312)*1))</f>
        <v/>
      </c>
      <c r="K313">
        <f>IF($H$2="",NA(),IF(INDEX(CSV!$C:$C,$H$2+312)="",NA(),INDEX(CSV!$C:$C,$H$2+312)*1))</f>
        <v/>
      </c>
    </row>
    <row r="314">
      <c r="I314">
        <f>IF($H$2="",NA(),IF(INDEX(CSV!$A:$A,$H$2+313)="",NA(),INDEX(CSV!$A:$A,$H$2+313)*1))</f>
        <v/>
      </c>
      <c r="J314">
        <f>IF($H$2="",NA(),IF(INDEX(CSV!$B:$B,$H$2+313)="",NA(),INDEX(CSV!$B:$B,$H$2+313)*1))</f>
        <v/>
      </c>
      <c r="K314">
        <f>IF($H$2="",NA(),IF(INDEX(CSV!$C:$C,$H$2+313)="",NA(),INDEX(CSV!$C:$C,$H$2+313)*1))</f>
        <v/>
      </c>
    </row>
    <row r="315">
      <c r="I315">
        <f>IF($H$2="",NA(),IF(INDEX(CSV!$A:$A,$H$2+314)="",NA(),INDEX(CSV!$A:$A,$H$2+314)*1))</f>
        <v/>
      </c>
      <c r="J315">
        <f>IF($H$2="",NA(),IF(INDEX(CSV!$B:$B,$H$2+314)="",NA(),INDEX(CSV!$B:$B,$H$2+314)*1))</f>
        <v/>
      </c>
      <c r="K315">
        <f>IF($H$2="",NA(),IF(INDEX(CSV!$C:$C,$H$2+314)="",NA(),INDEX(CSV!$C:$C,$H$2+314)*1))</f>
        <v/>
      </c>
    </row>
    <row r="316">
      <c r="I316">
        <f>IF($H$2="",NA(),IF(INDEX(CSV!$A:$A,$H$2+315)="",NA(),INDEX(CSV!$A:$A,$H$2+315)*1))</f>
        <v/>
      </c>
      <c r="J316">
        <f>IF($H$2="",NA(),IF(INDEX(CSV!$B:$B,$H$2+315)="",NA(),INDEX(CSV!$B:$B,$H$2+315)*1))</f>
        <v/>
      </c>
      <c r="K316">
        <f>IF($H$2="",NA(),IF(INDEX(CSV!$C:$C,$H$2+315)="",NA(),INDEX(CSV!$C:$C,$H$2+315)*1))</f>
        <v/>
      </c>
    </row>
    <row r="317">
      <c r="I317">
        <f>IF($H$2="",NA(),IF(INDEX(CSV!$A:$A,$H$2+316)="",NA(),INDEX(CSV!$A:$A,$H$2+316)*1))</f>
        <v/>
      </c>
      <c r="J317">
        <f>IF($H$2="",NA(),IF(INDEX(CSV!$B:$B,$H$2+316)="",NA(),INDEX(CSV!$B:$B,$H$2+316)*1))</f>
        <v/>
      </c>
      <c r="K317">
        <f>IF($H$2="",NA(),IF(INDEX(CSV!$C:$C,$H$2+316)="",NA(),INDEX(CSV!$C:$C,$H$2+316)*1))</f>
        <v/>
      </c>
    </row>
    <row r="318">
      <c r="I318">
        <f>IF($H$2="",NA(),IF(INDEX(CSV!$A:$A,$H$2+317)="",NA(),INDEX(CSV!$A:$A,$H$2+317)*1))</f>
        <v/>
      </c>
      <c r="J318">
        <f>IF($H$2="",NA(),IF(INDEX(CSV!$B:$B,$H$2+317)="",NA(),INDEX(CSV!$B:$B,$H$2+317)*1))</f>
        <v/>
      </c>
      <c r="K318">
        <f>IF($H$2="",NA(),IF(INDEX(CSV!$C:$C,$H$2+317)="",NA(),INDEX(CSV!$C:$C,$H$2+317)*1))</f>
        <v/>
      </c>
    </row>
    <row r="319">
      <c r="I319">
        <f>IF($H$2="",NA(),IF(INDEX(CSV!$A:$A,$H$2+318)="",NA(),INDEX(CSV!$A:$A,$H$2+318)*1))</f>
        <v/>
      </c>
      <c r="J319">
        <f>IF($H$2="",NA(),IF(INDEX(CSV!$B:$B,$H$2+318)="",NA(),INDEX(CSV!$B:$B,$H$2+318)*1))</f>
        <v/>
      </c>
      <c r="K319">
        <f>IF($H$2="",NA(),IF(INDEX(CSV!$C:$C,$H$2+318)="",NA(),INDEX(CSV!$C:$C,$H$2+318)*1))</f>
        <v/>
      </c>
    </row>
    <row r="320">
      <c r="I320">
        <f>IF($H$2="",NA(),IF(INDEX(CSV!$A:$A,$H$2+319)="",NA(),INDEX(CSV!$A:$A,$H$2+319)*1))</f>
        <v/>
      </c>
      <c r="J320">
        <f>IF($H$2="",NA(),IF(INDEX(CSV!$B:$B,$H$2+319)="",NA(),INDEX(CSV!$B:$B,$H$2+319)*1))</f>
        <v/>
      </c>
      <c r="K320">
        <f>IF($H$2="",NA(),IF(INDEX(CSV!$C:$C,$H$2+319)="",NA(),INDEX(CSV!$C:$C,$H$2+319)*1))</f>
        <v/>
      </c>
    </row>
    <row r="321">
      <c r="I321">
        <f>IF($H$2="",NA(),IF(INDEX(CSV!$A:$A,$H$2+320)="",NA(),INDEX(CSV!$A:$A,$H$2+320)*1))</f>
        <v/>
      </c>
      <c r="J321">
        <f>IF($H$2="",NA(),IF(INDEX(CSV!$B:$B,$H$2+320)="",NA(),INDEX(CSV!$B:$B,$H$2+320)*1))</f>
        <v/>
      </c>
      <c r="K321">
        <f>IF($H$2="",NA(),IF(INDEX(CSV!$C:$C,$H$2+320)="",NA(),INDEX(CSV!$C:$C,$H$2+320)*1))</f>
        <v/>
      </c>
    </row>
    <row r="322">
      <c r="I322">
        <f>IF($H$2="",NA(),IF(INDEX(CSV!$A:$A,$H$2+321)="",NA(),INDEX(CSV!$A:$A,$H$2+321)*1))</f>
        <v/>
      </c>
      <c r="J322">
        <f>IF($H$2="",NA(),IF(INDEX(CSV!$B:$B,$H$2+321)="",NA(),INDEX(CSV!$B:$B,$H$2+321)*1))</f>
        <v/>
      </c>
      <c r="K322">
        <f>IF($H$2="",NA(),IF(INDEX(CSV!$C:$C,$H$2+321)="",NA(),INDEX(CSV!$C:$C,$H$2+321)*1))</f>
        <v/>
      </c>
    </row>
    <row r="323">
      <c r="I323">
        <f>IF($H$2="",NA(),IF(INDEX(CSV!$A:$A,$H$2+322)="",NA(),INDEX(CSV!$A:$A,$H$2+322)*1))</f>
        <v/>
      </c>
      <c r="J323">
        <f>IF($H$2="",NA(),IF(INDEX(CSV!$B:$B,$H$2+322)="",NA(),INDEX(CSV!$B:$B,$H$2+322)*1))</f>
        <v/>
      </c>
      <c r="K323">
        <f>IF($H$2="",NA(),IF(INDEX(CSV!$C:$C,$H$2+322)="",NA(),INDEX(CSV!$C:$C,$H$2+322)*1))</f>
        <v/>
      </c>
    </row>
    <row r="324">
      <c r="I324">
        <f>IF($H$2="",NA(),IF(INDEX(CSV!$A:$A,$H$2+323)="",NA(),INDEX(CSV!$A:$A,$H$2+323)*1))</f>
        <v/>
      </c>
      <c r="J324">
        <f>IF($H$2="",NA(),IF(INDEX(CSV!$B:$B,$H$2+323)="",NA(),INDEX(CSV!$B:$B,$H$2+323)*1))</f>
        <v/>
      </c>
      <c r="K324">
        <f>IF($H$2="",NA(),IF(INDEX(CSV!$C:$C,$H$2+323)="",NA(),INDEX(CSV!$C:$C,$H$2+323)*1))</f>
        <v/>
      </c>
    </row>
    <row r="325">
      <c r="I325">
        <f>IF($H$2="",NA(),IF(INDEX(CSV!$A:$A,$H$2+324)="",NA(),INDEX(CSV!$A:$A,$H$2+324)*1))</f>
        <v/>
      </c>
      <c r="J325">
        <f>IF($H$2="",NA(),IF(INDEX(CSV!$B:$B,$H$2+324)="",NA(),INDEX(CSV!$B:$B,$H$2+324)*1))</f>
        <v/>
      </c>
      <c r="K325">
        <f>IF($H$2="",NA(),IF(INDEX(CSV!$C:$C,$H$2+324)="",NA(),INDEX(CSV!$C:$C,$H$2+324)*1))</f>
        <v/>
      </c>
    </row>
    <row r="326">
      <c r="I326">
        <f>IF($H$2="",NA(),IF(INDEX(CSV!$A:$A,$H$2+325)="",NA(),INDEX(CSV!$A:$A,$H$2+325)*1))</f>
        <v/>
      </c>
      <c r="J326">
        <f>IF($H$2="",NA(),IF(INDEX(CSV!$B:$B,$H$2+325)="",NA(),INDEX(CSV!$B:$B,$H$2+325)*1))</f>
        <v/>
      </c>
      <c r="K326">
        <f>IF($H$2="",NA(),IF(INDEX(CSV!$C:$C,$H$2+325)="",NA(),INDEX(CSV!$C:$C,$H$2+325)*1))</f>
        <v/>
      </c>
    </row>
    <row r="327">
      <c r="I327">
        <f>IF($H$2="",NA(),IF(INDEX(CSV!$A:$A,$H$2+326)="",NA(),INDEX(CSV!$A:$A,$H$2+326)*1))</f>
        <v/>
      </c>
      <c r="J327">
        <f>IF($H$2="",NA(),IF(INDEX(CSV!$B:$B,$H$2+326)="",NA(),INDEX(CSV!$B:$B,$H$2+326)*1))</f>
        <v/>
      </c>
      <c r="K327">
        <f>IF($H$2="",NA(),IF(INDEX(CSV!$C:$C,$H$2+326)="",NA(),INDEX(CSV!$C:$C,$H$2+326)*1))</f>
        <v/>
      </c>
    </row>
    <row r="328">
      <c r="I328">
        <f>IF($H$2="",NA(),IF(INDEX(CSV!$A:$A,$H$2+327)="",NA(),INDEX(CSV!$A:$A,$H$2+327)*1))</f>
        <v/>
      </c>
      <c r="J328">
        <f>IF($H$2="",NA(),IF(INDEX(CSV!$B:$B,$H$2+327)="",NA(),INDEX(CSV!$B:$B,$H$2+327)*1))</f>
        <v/>
      </c>
      <c r="K328">
        <f>IF($H$2="",NA(),IF(INDEX(CSV!$C:$C,$H$2+327)="",NA(),INDEX(CSV!$C:$C,$H$2+327)*1))</f>
        <v/>
      </c>
    </row>
    <row r="329">
      <c r="I329">
        <f>IF($H$2="",NA(),IF(INDEX(CSV!$A:$A,$H$2+328)="",NA(),INDEX(CSV!$A:$A,$H$2+328)*1))</f>
        <v/>
      </c>
      <c r="J329">
        <f>IF($H$2="",NA(),IF(INDEX(CSV!$B:$B,$H$2+328)="",NA(),INDEX(CSV!$B:$B,$H$2+328)*1))</f>
        <v/>
      </c>
      <c r="K329">
        <f>IF($H$2="",NA(),IF(INDEX(CSV!$C:$C,$H$2+328)="",NA(),INDEX(CSV!$C:$C,$H$2+328)*1))</f>
        <v/>
      </c>
    </row>
    <row r="330">
      <c r="I330">
        <f>IF($H$2="",NA(),IF(INDEX(CSV!$A:$A,$H$2+329)="",NA(),INDEX(CSV!$A:$A,$H$2+329)*1))</f>
        <v/>
      </c>
      <c r="J330">
        <f>IF($H$2="",NA(),IF(INDEX(CSV!$B:$B,$H$2+329)="",NA(),INDEX(CSV!$B:$B,$H$2+329)*1))</f>
        <v/>
      </c>
      <c r="K330">
        <f>IF($H$2="",NA(),IF(INDEX(CSV!$C:$C,$H$2+329)="",NA(),INDEX(CSV!$C:$C,$H$2+329)*1))</f>
        <v/>
      </c>
    </row>
    <row r="331">
      <c r="I331">
        <f>IF($H$2="",NA(),IF(INDEX(CSV!$A:$A,$H$2+330)="",NA(),INDEX(CSV!$A:$A,$H$2+330)*1))</f>
        <v/>
      </c>
      <c r="J331">
        <f>IF($H$2="",NA(),IF(INDEX(CSV!$B:$B,$H$2+330)="",NA(),INDEX(CSV!$B:$B,$H$2+330)*1))</f>
        <v/>
      </c>
      <c r="K331">
        <f>IF($H$2="",NA(),IF(INDEX(CSV!$C:$C,$H$2+330)="",NA(),INDEX(CSV!$C:$C,$H$2+330)*1))</f>
        <v/>
      </c>
    </row>
    <row r="332">
      <c r="I332">
        <f>IF($H$2="",NA(),IF(INDEX(CSV!$A:$A,$H$2+331)="",NA(),INDEX(CSV!$A:$A,$H$2+331)*1))</f>
        <v/>
      </c>
      <c r="J332">
        <f>IF($H$2="",NA(),IF(INDEX(CSV!$B:$B,$H$2+331)="",NA(),INDEX(CSV!$B:$B,$H$2+331)*1))</f>
        <v/>
      </c>
      <c r="K332">
        <f>IF($H$2="",NA(),IF(INDEX(CSV!$C:$C,$H$2+331)="",NA(),INDEX(CSV!$C:$C,$H$2+331)*1))</f>
        <v/>
      </c>
    </row>
    <row r="333">
      <c r="I333">
        <f>IF($H$2="",NA(),IF(INDEX(CSV!$A:$A,$H$2+332)="",NA(),INDEX(CSV!$A:$A,$H$2+332)*1))</f>
        <v/>
      </c>
      <c r="J333">
        <f>IF($H$2="",NA(),IF(INDEX(CSV!$B:$B,$H$2+332)="",NA(),INDEX(CSV!$B:$B,$H$2+332)*1))</f>
        <v/>
      </c>
      <c r="K333">
        <f>IF($H$2="",NA(),IF(INDEX(CSV!$C:$C,$H$2+332)="",NA(),INDEX(CSV!$C:$C,$H$2+332)*1))</f>
        <v/>
      </c>
    </row>
    <row r="334">
      <c r="I334">
        <f>IF($H$2="",NA(),IF(INDEX(CSV!$A:$A,$H$2+333)="",NA(),INDEX(CSV!$A:$A,$H$2+333)*1))</f>
        <v/>
      </c>
      <c r="J334">
        <f>IF($H$2="",NA(),IF(INDEX(CSV!$B:$B,$H$2+333)="",NA(),INDEX(CSV!$B:$B,$H$2+333)*1))</f>
        <v/>
      </c>
      <c r="K334">
        <f>IF($H$2="",NA(),IF(INDEX(CSV!$C:$C,$H$2+333)="",NA(),INDEX(CSV!$C:$C,$H$2+333)*1))</f>
        <v/>
      </c>
    </row>
    <row r="335">
      <c r="I335">
        <f>IF($H$2="",NA(),IF(INDEX(CSV!$A:$A,$H$2+334)="",NA(),INDEX(CSV!$A:$A,$H$2+334)*1))</f>
        <v/>
      </c>
      <c r="J335">
        <f>IF($H$2="",NA(),IF(INDEX(CSV!$B:$B,$H$2+334)="",NA(),INDEX(CSV!$B:$B,$H$2+334)*1))</f>
        <v/>
      </c>
      <c r="K335">
        <f>IF($H$2="",NA(),IF(INDEX(CSV!$C:$C,$H$2+334)="",NA(),INDEX(CSV!$C:$C,$H$2+334)*1))</f>
        <v/>
      </c>
    </row>
    <row r="336">
      <c r="I336">
        <f>IF($H$2="",NA(),IF(INDEX(CSV!$A:$A,$H$2+335)="",NA(),INDEX(CSV!$A:$A,$H$2+335)*1))</f>
        <v/>
      </c>
      <c r="J336">
        <f>IF($H$2="",NA(),IF(INDEX(CSV!$B:$B,$H$2+335)="",NA(),INDEX(CSV!$B:$B,$H$2+335)*1))</f>
        <v/>
      </c>
      <c r="K336">
        <f>IF($H$2="",NA(),IF(INDEX(CSV!$C:$C,$H$2+335)="",NA(),INDEX(CSV!$C:$C,$H$2+335)*1))</f>
        <v/>
      </c>
    </row>
    <row r="337">
      <c r="I337">
        <f>IF($H$2="",NA(),IF(INDEX(CSV!$A:$A,$H$2+336)="",NA(),INDEX(CSV!$A:$A,$H$2+336)*1))</f>
        <v/>
      </c>
      <c r="J337">
        <f>IF($H$2="",NA(),IF(INDEX(CSV!$B:$B,$H$2+336)="",NA(),INDEX(CSV!$B:$B,$H$2+336)*1))</f>
        <v/>
      </c>
      <c r="K337">
        <f>IF($H$2="",NA(),IF(INDEX(CSV!$C:$C,$H$2+336)="",NA(),INDEX(CSV!$C:$C,$H$2+336)*1))</f>
        <v/>
      </c>
    </row>
    <row r="338">
      <c r="I338">
        <f>IF($H$2="",NA(),IF(INDEX(CSV!$A:$A,$H$2+337)="",NA(),INDEX(CSV!$A:$A,$H$2+337)*1))</f>
        <v/>
      </c>
      <c r="J338">
        <f>IF($H$2="",NA(),IF(INDEX(CSV!$B:$B,$H$2+337)="",NA(),INDEX(CSV!$B:$B,$H$2+337)*1))</f>
        <v/>
      </c>
      <c r="K338">
        <f>IF($H$2="",NA(),IF(INDEX(CSV!$C:$C,$H$2+337)="",NA(),INDEX(CSV!$C:$C,$H$2+337)*1))</f>
        <v/>
      </c>
    </row>
    <row r="339">
      <c r="I339">
        <f>IF($H$2="",NA(),IF(INDEX(CSV!$A:$A,$H$2+338)="",NA(),INDEX(CSV!$A:$A,$H$2+338)*1))</f>
        <v/>
      </c>
      <c r="J339">
        <f>IF($H$2="",NA(),IF(INDEX(CSV!$B:$B,$H$2+338)="",NA(),INDEX(CSV!$B:$B,$H$2+338)*1))</f>
        <v/>
      </c>
      <c r="K339">
        <f>IF($H$2="",NA(),IF(INDEX(CSV!$C:$C,$H$2+338)="",NA(),INDEX(CSV!$C:$C,$H$2+338)*1))</f>
        <v/>
      </c>
    </row>
    <row r="340">
      <c r="I340">
        <f>IF($H$2="",NA(),IF(INDEX(CSV!$A:$A,$H$2+339)="",NA(),INDEX(CSV!$A:$A,$H$2+339)*1))</f>
        <v/>
      </c>
      <c r="J340">
        <f>IF($H$2="",NA(),IF(INDEX(CSV!$B:$B,$H$2+339)="",NA(),INDEX(CSV!$B:$B,$H$2+339)*1))</f>
        <v/>
      </c>
      <c r="K340">
        <f>IF($H$2="",NA(),IF(INDEX(CSV!$C:$C,$H$2+339)="",NA(),INDEX(CSV!$C:$C,$H$2+339)*1))</f>
        <v/>
      </c>
    </row>
    <row r="341">
      <c r="I341">
        <f>IF($H$2="",NA(),IF(INDEX(CSV!$A:$A,$H$2+340)="",NA(),INDEX(CSV!$A:$A,$H$2+340)*1))</f>
        <v/>
      </c>
      <c r="J341">
        <f>IF($H$2="",NA(),IF(INDEX(CSV!$B:$B,$H$2+340)="",NA(),INDEX(CSV!$B:$B,$H$2+340)*1))</f>
        <v/>
      </c>
      <c r="K341">
        <f>IF($H$2="",NA(),IF(INDEX(CSV!$C:$C,$H$2+340)="",NA(),INDEX(CSV!$C:$C,$H$2+340)*1))</f>
        <v/>
      </c>
    </row>
    <row r="342">
      <c r="I342">
        <f>IF($H$2="",NA(),IF(INDEX(CSV!$A:$A,$H$2+341)="",NA(),INDEX(CSV!$A:$A,$H$2+341)*1))</f>
        <v/>
      </c>
      <c r="J342">
        <f>IF($H$2="",NA(),IF(INDEX(CSV!$B:$B,$H$2+341)="",NA(),INDEX(CSV!$B:$B,$H$2+341)*1))</f>
        <v/>
      </c>
      <c r="K342">
        <f>IF($H$2="",NA(),IF(INDEX(CSV!$C:$C,$H$2+341)="",NA(),INDEX(CSV!$C:$C,$H$2+341)*1))</f>
        <v/>
      </c>
    </row>
    <row r="343">
      <c r="I343">
        <f>IF($H$2="",NA(),IF(INDEX(CSV!$A:$A,$H$2+342)="",NA(),INDEX(CSV!$A:$A,$H$2+342)*1))</f>
        <v/>
      </c>
      <c r="J343">
        <f>IF($H$2="",NA(),IF(INDEX(CSV!$B:$B,$H$2+342)="",NA(),INDEX(CSV!$B:$B,$H$2+342)*1))</f>
        <v/>
      </c>
      <c r="K343">
        <f>IF($H$2="",NA(),IF(INDEX(CSV!$C:$C,$H$2+342)="",NA(),INDEX(CSV!$C:$C,$H$2+342)*1))</f>
        <v/>
      </c>
    </row>
    <row r="344">
      <c r="I344">
        <f>IF($H$2="",NA(),IF(INDEX(CSV!$A:$A,$H$2+343)="",NA(),INDEX(CSV!$A:$A,$H$2+343)*1))</f>
        <v/>
      </c>
      <c r="J344">
        <f>IF($H$2="",NA(),IF(INDEX(CSV!$B:$B,$H$2+343)="",NA(),INDEX(CSV!$B:$B,$H$2+343)*1))</f>
        <v/>
      </c>
      <c r="K344">
        <f>IF($H$2="",NA(),IF(INDEX(CSV!$C:$C,$H$2+343)="",NA(),INDEX(CSV!$C:$C,$H$2+343)*1))</f>
        <v/>
      </c>
    </row>
    <row r="345">
      <c r="I345">
        <f>IF($H$2="",NA(),IF(INDEX(CSV!$A:$A,$H$2+344)="",NA(),INDEX(CSV!$A:$A,$H$2+344)*1))</f>
        <v/>
      </c>
      <c r="J345">
        <f>IF($H$2="",NA(),IF(INDEX(CSV!$B:$B,$H$2+344)="",NA(),INDEX(CSV!$B:$B,$H$2+344)*1))</f>
        <v/>
      </c>
      <c r="K345">
        <f>IF($H$2="",NA(),IF(INDEX(CSV!$C:$C,$H$2+344)="",NA(),INDEX(CSV!$C:$C,$H$2+344)*1))</f>
        <v/>
      </c>
    </row>
    <row r="346">
      <c r="I346">
        <f>IF($H$2="",NA(),IF(INDEX(CSV!$A:$A,$H$2+345)="",NA(),INDEX(CSV!$A:$A,$H$2+345)*1))</f>
        <v/>
      </c>
      <c r="J346">
        <f>IF($H$2="",NA(),IF(INDEX(CSV!$B:$B,$H$2+345)="",NA(),INDEX(CSV!$B:$B,$H$2+345)*1))</f>
        <v/>
      </c>
      <c r="K346">
        <f>IF($H$2="",NA(),IF(INDEX(CSV!$C:$C,$H$2+345)="",NA(),INDEX(CSV!$C:$C,$H$2+345)*1))</f>
        <v/>
      </c>
    </row>
    <row r="347">
      <c r="I347">
        <f>IF($H$2="",NA(),IF(INDEX(CSV!$A:$A,$H$2+346)="",NA(),INDEX(CSV!$A:$A,$H$2+346)*1))</f>
        <v/>
      </c>
      <c r="J347">
        <f>IF($H$2="",NA(),IF(INDEX(CSV!$B:$B,$H$2+346)="",NA(),INDEX(CSV!$B:$B,$H$2+346)*1))</f>
        <v/>
      </c>
      <c r="K347">
        <f>IF($H$2="",NA(),IF(INDEX(CSV!$C:$C,$H$2+346)="",NA(),INDEX(CSV!$C:$C,$H$2+346)*1))</f>
        <v/>
      </c>
    </row>
    <row r="348">
      <c r="I348">
        <f>IF($H$2="",NA(),IF(INDEX(CSV!$A:$A,$H$2+347)="",NA(),INDEX(CSV!$A:$A,$H$2+347)*1))</f>
        <v/>
      </c>
      <c r="J348">
        <f>IF($H$2="",NA(),IF(INDEX(CSV!$B:$B,$H$2+347)="",NA(),INDEX(CSV!$B:$B,$H$2+347)*1))</f>
        <v/>
      </c>
      <c r="K348">
        <f>IF($H$2="",NA(),IF(INDEX(CSV!$C:$C,$H$2+347)="",NA(),INDEX(CSV!$C:$C,$H$2+347)*1))</f>
        <v/>
      </c>
    </row>
    <row r="349">
      <c r="I349">
        <f>IF($H$2="",NA(),IF(INDEX(CSV!$A:$A,$H$2+348)="",NA(),INDEX(CSV!$A:$A,$H$2+348)*1))</f>
        <v/>
      </c>
      <c r="J349">
        <f>IF($H$2="",NA(),IF(INDEX(CSV!$B:$B,$H$2+348)="",NA(),INDEX(CSV!$B:$B,$H$2+348)*1))</f>
        <v/>
      </c>
      <c r="K349">
        <f>IF($H$2="",NA(),IF(INDEX(CSV!$C:$C,$H$2+348)="",NA(),INDEX(CSV!$C:$C,$H$2+348)*1))</f>
        <v/>
      </c>
    </row>
    <row r="350">
      <c r="I350">
        <f>IF($H$2="",NA(),IF(INDEX(CSV!$A:$A,$H$2+349)="",NA(),INDEX(CSV!$A:$A,$H$2+349)*1))</f>
        <v/>
      </c>
      <c r="J350">
        <f>IF($H$2="",NA(),IF(INDEX(CSV!$B:$B,$H$2+349)="",NA(),INDEX(CSV!$B:$B,$H$2+349)*1))</f>
        <v/>
      </c>
      <c r="K350">
        <f>IF($H$2="",NA(),IF(INDEX(CSV!$C:$C,$H$2+349)="",NA(),INDEX(CSV!$C:$C,$H$2+349)*1))</f>
        <v/>
      </c>
    </row>
    <row r="351">
      <c r="I351">
        <f>IF($H$2="",NA(),IF(INDEX(CSV!$A:$A,$H$2+350)="",NA(),INDEX(CSV!$A:$A,$H$2+350)*1))</f>
        <v/>
      </c>
      <c r="J351">
        <f>IF($H$2="",NA(),IF(INDEX(CSV!$B:$B,$H$2+350)="",NA(),INDEX(CSV!$B:$B,$H$2+350)*1))</f>
        <v/>
      </c>
      <c r="K351">
        <f>IF($H$2="",NA(),IF(INDEX(CSV!$C:$C,$H$2+350)="",NA(),INDEX(CSV!$C:$C,$H$2+350)*1))</f>
        <v/>
      </c>
    </row>
    <row r="352">
      <c r="I352">
        <f>IF($H$2="",NA(),IF(INDEX(CSV!$A:$A,$H$2+351)="",NA(),INDEX(CSV!$A:$A,$H$2+351)*1))</f>
        <v/>
      </c>
      <c r="J352">
        <f>IF($H$2="",NA(),IF(INDEX(CSV!$B:$B,$H$2+351)="",NA(),INDEX(CSV!$B:$B,$H$2+351)*1))</f>
        <v/>
      </c>
      <c r="K352">
        <f>IF($H$2="",NA(),IF(INDEX(CSV!$C:$C,$H$2+351)="",NA(),INDEX(CSV!$C:$C,$H$2+351)*1))</f>
        <v/>
      </c>
    </row>
    <row r="353">
      <c r="I353">
        <f>IF($H$2="",NA(),IF(INDEX(CSV!$A:$A,$H$2+352)="",NA(),INDEX(CSV!$A:$A,$H$2+352)*1))</f>
        <v/>
      </c>
      <c r="J353">
        <f>IF($H$2="",NA(),IF(INDEX(CSV!$B:$B,$H$2+352)="",NA(),INDEX(CSV!$B:$B,$H$2+352)*1))</f>
        <v/>
      </c>
      <c r="K353">
        <f>IF($H$2="",NA(),IF(INDEX(CSV!$C:$C,$H$2+352)="",NA(),INDEX(CSV!$C:$C,$H$2+352)*1))</f>
        <v/>
      </c>
    </row>
    <row r="354">
      <c r="I354">
        <f>IF($H$2="",NA(),IF(INDEX(CSV!$A:$A,$H$2+353)="",NA(),INDEX(CSV!$A:$A,$H$2+353)*1))</f>
        <v/>
      </c>
      <c r="J354">
        <f>IF($H$2="",NA(),IF(INDEX(CSV!$B:$B,$H$2+353)="",NA(),INDEX(CSV!$B:$B,$H$2+353)*1))</f>
        <v/>
      </c>
      <c r="K354">
        <f>IF($H$2="",NA(),IF(INDEX(CSV!$C:$C,$H$2+353)="",NA(),INDEX(CSV!$C:$C,$H$2+353)*1))</f>
        <v/>
      </c>
    </row>
    <row r="355">
      <c r="I355">
        <f>IF($H$2="",NA(),IF(INDEX(CSV!$A:$A,$H$2+354)="",NA(),INDEX(CSV!$A:$A,$H$2+354)*1))</f>
        <v/>
      </c>
      <c r="J355">
        <f>IF($H$2="",NA(),IF(INDEX(CSV!$B:$B,$H$2+354)="",NA(),INDEX(CSV!$B:$B,$H$2+354)*1))</f>
        <v/>
      </c>
      <c r="K355">
        <f>IF($H$2="",NA(),IF(INDEX(CSV!$C:$C,$H$2+354)="",NA(),INDEX(CSV!$C:$C,$H$2+354)*1))</f>
        <v/>
      </c>
    </row>
    <row r="356">
      <c r="I356">
        <f>IF($H$2="",NA(),IF(INDEX(CSV!$A:$A,$H$2+355)="",NA(),INDEX(CSV!$A:$A,$H$2+355)*1))</f>
        <v/>
      </c>
      <c r="J356">
        <f>IF($H$2="",NA(),IF(INDEX(CSV!$B:$B,$H$2+355)="",NA(),INDEX(CSV!$B:$B,$H$2+355)*1))</f>
        <v/>
      </c>
      <c r="K356">
        <f>IF($H$2="",NA(),IF(INDEX(CSV!$C:$C,$H$2+355)="",NA(),INDEX(CSV!$C:$C,$H$2+355)*1))</f>
        <v/>
      </c>
    </row>
    <row r="357">
      <c r="I357">
        <f>IF($H$2="",NA(),IF(INDEX(CSV!$A:$A,$H$2+356)="",NA(),INDEX(CSV!$A:$A,$H$2+356)*1))</f>
        <v/>
      </c>
      <c r="J357">
        <f>IF($H$2="",NA(),IF(INDEX(CSV!$B:$B,$H$2+356)="",NA(),INDEX(CSV!$B:$B,$H$2+356)*1))</f>
        <v/>
      </c>
      <c r="K357">
        <f>IF($H$2="",NA(),IF(INDEX(CSV!$C:$C,$H$2+356)="",NA(),INDEX(CSV!$C:$C,$H$2+356)*1))</f>
        <v/>
      </c>
    </row>
    <row r="358">
      <c r="I358">
        <f>IF($H$2="",NA(),IF(INDEX(CSV!$A:$A,$H$2+357)="",NA(),INDEX(CSV!$A:$A,$H$2+357)*1))</f>
        <v/>
      </c>
      <c r="J358">
        <f>IF($H$2="",NA(),IF(INDEX(CSV!$B:$B,$H$2+357)="",NA(),INDEX(CSV!$B:$B,$H$2+357)*1))</f>
        <v/>
      </c>
      <c r="K358">
        <f>IF($H$2="",NA(),IF(INDEX(CSV!$C:$C,$H$2+357)="",NA(),INDEX(CSV!$C:$C,$H$2+357)*1))</f>
        <v/>
      </c>
    </row>
    <row r="359">
      <c r="I359">
        <f>IF($H$2="",NA(),IF(INDEX(CSV!$A:$A,$H$2+358)="",NA(),INDEX(CSV!$A:$A,$H$2+358)*1))</f>
        <v/>
      </c>
      <c r="J359">
        <f>IF($H$2="",NA(),IF(INDEX(CSV!$B:$B,$H$2+358)="",NA(),INDEX(CSV!$B:$B,$H$2+358)*1))</f>
        <v/>
      </c>
      <c r="K359">
        <f>IF($H$2="",NA(),IF(INDEX(CSV!$C:$C,$H$2+358)="",NA(),INDEX(CSV!$C:$C,$H$2+358)*1))</f>
        <v/>
      </c>
    </row>
    <row r="360">
      <c r="I360">
        <f>IF($H$2="",NA(),IF(INDEX(CSV!$A:$A,$H$2+359)="",NA(),INDEX(CSV!$A:$A,$H$2+359)*1))</f>
        <v/>
      </c>
      <c r="J360">
        <f>IF($H$2="",NA(),IF(INDEX(CSV!$B:$B,$H$2+359)="",NA(),INDEX(CSV!$B:$B,$H$2+359)*1))</f>
        <v/>
      </c>
      <c r="K360">
        <f>IF($H$2="",NA(),IF(INDEX(CSV!$C:$C,$H$2+359)="",NA(),INDEX(CSV!$C:$C,$H$2+359)*1))</f>
        <v/>
      </c>
    </row>
    <row r="361">
      <c r="I361">
        <f>IF($H$2="",NA(),IF(INDEX(CSV!$A:$A,$H$2+360)="",NA(),INDEX(CSV!$A:$A,$H$2+360)*1))</f>
        <v/>
      </c>
      <c r="J361">
        <f>IF($H$2="",NA(),IF(INDEX(CSV!$B:$B,$H$2+360)="",NA(),INDEX(CSV!$B:$B,$H$2+360)*1))</f>
        <v/>
      </c>
      <c r="K361">
        <f>IF($H$2="",NA(),IF(INDEX(CSV!$C:$C,$H$2+360)="",NA(),INDEX(CSV!$C:$C,$H$2+360)*1))</f>
        <v/>
      </c>
    </row>
    <row r="362">
      <c r="I362">
        <f>IF($H$2="",NA(),IF(INDEX(CSV!$A:$A,$H$2+361)="",NA(),INDEX(CSV!$A:$A,$H$2+361)*1))</f>
        <v/>
      </c>
      <c r="J362">
        <f>IF($H$2="",NA(),IF(INDEX(CSV!$B:$B,$H$2+361)="",NA(),INDEX(CSV!$B:$B,$H$2+361)*1))</f>
        <v/>
      </c>
      <c r="K362">
        <f>IF($H$2="",NA(),IF(INDEX(CSV!$C:$C,$H$2+361)="",NA(),INDEX(CSV!$C:$C,$H$2+361)*1))</f>
        <v/>
      </c>
    </row>
    <row r="363">
      <c r="I363">
        <f>IF($H$2="",NA(),IF(INDEX(CSV!$A:$A,$H$2+362)="",NA(),INDEX(CSV!$A:$A,$H$2+362)*1))</f>
        <v/>
      </c>
      <c r="J363">
        <f>IF($H$2="",NA(),IF(INDEX(CSV!$B:$B,$H$2+362)="",NA(),INDEX(CSV!$B:$B,$H$2+362)*1))</f>
        <v/>
      </c>
      <c r="K363">
        <f>IF($H$2="",NA(),IF(INDEX(CSV!$C:$C,$H$2+362)="",NA(),INDEX(CSV!$C:$C,$H$2+362)*1))</f>
        <v/>
      </c>
    </row>
    <row r="364">
      <c r="I364">
        <f>IF($H$2="",NA(),IF(INDEX(CSV!$A:$A,$H$2+363)="",NA(),INDEX(CSV!$A:$A,$H$2+363)*1))</f>
        <v/>
      </c>
      <c r="J364">
        <f>IF($H$2="",NA(),IF(INDEX(CSV!$B:$B,$H$2+363)="",NA(),INDEX(CSV!$B:$B,$H$2+363)*1))</f>
        <v/>
      </c>
      <c r="K364">
        <f>IF($H$2="",NA(),IF(INDEX(CSV!$C:$C,$H$2+363)="",NA(),INDEX(CSV!$C:$C,$H$2+363)*1))</f>
        <v/>
      </c>
    </row>
    <row r="365">
      <c r="I365">
        <f>IF($H$2="",NA(),IF(INDEX(CSV!$A:$A,$H$2+364)="",NA(),INDEX(CSV!$A:$A,$H$2+364)*1))</f>
        <v/>
      </c>
      <c r="J365">
        <f>IF($H$2="",NA(),IF(INDEX(CSV!$B:$B,$H$2+364)="",NA(),INDEX(CSV!$B:$B,$H$2+364)*1))</f>
        <v/>
      </c>
      <c r="K365">
        <f>IF($H$2="",NA(),IF(INDEX(CSV!$C:$C,$H$2+364)="",NA(),INDEX(CSV!$C:$C,$H$2+364)*1))</f>
        <v/>
      </c>
    </row>
    <row r="366">
      <c r="I366">
        <f>IF($H$2="",NA(),IF(INDEX(CSV!$A:$A,$H$2+365)="",NA(),INDEX(CSV!$A:$A,$H$2+365)*1))</f>
        <v/>
      </c>
      <c r="J366">
        <f>IF($H$2="",NA(),IF(INDEX(CSV!$B:$B,$H$2+365)="",NA(),INDEX(CSV!$B:$B,$H$2+365)*1))</f>
        <v/>
      </c>
      <c r="K366">
        <f>IF($H$2="",NA(),IF(INDEX(CSV!$C:$C,$H$2+365)="",NA(),INDEX(CSV!$C:$C,$H$2+365)*1))</f>
        <v/>
      </c>
    </row>
    <row r="367">
      <c r="I367">
        <f>IF($H$2="",NA(),IF(INDEX(CSV!$A:$A,$H$2+366)="",NA(),INDEX(CSV!$A:$A,$H$2+366)*1))</f>
        <v/>
      </c>
      <c r="J367">
        <f>IF($H$2="",NA(),IF(INDEX(CSV!$B:$B,$H$2+366)="",NA(),INDEX(CSV!$B:$B,$H$2+366)*1))</f>
        <v/>
      </c>
      <c r="K367">
        <f>IF($H$2="",NA(),IF(INDEX(CSV!$C:$C,$H$2+366)="",NA(),INDEX(CSV!$C:$C,$H$2+366)*1))</f>
        <v/>
      </c>
    </row>
    <row r="368">
      <c r="I368">
        <f>IF($H$2="",NA(),IF(INDEX(CSV!$A:$A,$H$2+367)="",NA(),INDEX(CSV!$A:$A,$H$2+367)*1))</f>
        <v/>
      </c>
      <c r="J368">
        <f>IF($H$2="",NA(),IF(INDEX(CSV!$B:$B,$H$2+367)="",NA(),INDEX(CSV!$B:$B,$H$2+367)*1))</f>
        <v/>
      </c>
      <c r="K368">
        <f>IF($H$2="",NA(),IF(INDEX(CSV!$C:$C,$H$2+367)="",NA(),INDEX(CSV!$C:$C,$H$2+367)*1))</f>
        <v/>
      </c>
    </row>
    <row r="369">
      <c r="I369">
        <f>IF($H$2="",NA(),IF(INDEX(CSV!$A:$A,$H$2+368)="",NA(),INDEX(CSV!$A:$A,$H$2+368)*1))</f>
        <v/>
      </c>
      <c r="J369">
        <f>IF($H$2="",NA(),IF(INDEX(CSV!$B:$B,$H$2+368)="",NA(),INDEX(CSV!$B:$B,$H$2+368)*1))</f>
        <v/>
      </c>
      <c r="K369">
        <f>IF($H$2="",NA(),IF(INDEX(CSV!$C:$C,$H$2+368)="",NA(),INDEX(CSV!$C:$C,$H$2+368)*1))</f>
        <v/>
      </c>
    </row>
    <row r="370">
      <c r="I370">
        <f>IF($H$2="",NA(),IF(INDEX(CSV!$A:$A,$H$2+369)="",NA(),INDEX(CSV!$A:$A,$H$2+369)*1))</f>
        <v/>
      </c>
      <c r="J370">
        <f>IF($H$2="",NA(),IF(INDEX(CSV!$B:$B,$H$2+369)="",NA(),INDEX(CSV!$B:$B,$H$2+369)*1))</f>
        <v/>
      </c>
      <c r="K370">
        <f>IF($H$2="",NA(),IF(INDEX(CSV!$C:$C,$H$2+369)="",NA(),INDEX(CSV!$C:$C,$H$2+369)*1))</f>
        <v/>
      </c>
    </row>
    <row r="371">
      <c r="I371">
        <f>IF($H$2="",NA(),IF(INDEX(CSV!$A:$A,$H$2+370)="",NA(),INDEX(CSV!$A:$A,$H$2+370)*1))</f>
        <v/>
      </c>
      <c r="J371">
        <f>IF($H$2="",NA(),IF(INDEX(CSV!$B:$B,$H$2+370)="",NA(),INDEX(CSV!$B:$B,$H$2+370)*1))</f>
        <v/>
      </c>
      <c r="K371">
        <f>IF($H$2="",NA(),IF(INDEX(CSV!$C:$C,$H$2+370)="",NA(),INDEX(CSV!$C:$C,$H$2+370)*1))</f>
        <v/>
      </c>
    </row>
    <row r="372">
      <c r="I372">
        <f>IF($H$2="",NA(),IF(INDEX(CSV!$A:$A,$H$2+371)="",NA(),INDEX(CSV!$A:$A,$H$2+371)*1))</f>
        <v/>
      </c>
      <c r="J372">
        <f>IF($H$2="",NA(),IF(INDEX(CSV!$B:$B,$H$2+371)="",NA(),INDEX(CSV!$B:$B,$H$2+371)*1))</f>
        <v/>
      </c>
      <c r="K372">
        <f>IF($H$2="",NA(),IF(INDEX(CSV!$C:$C,$H$2+371)="",NA(),INDEX(CSV!$C:$C,$H$2+371)*1))</f>
        <v/>
      </c>
    </row>
    <row r="373">
      <c r="I373">
        <f>IF($H$2="",NA(),IF(INDEX(CSV!$A:$A,$H$2+372)="",NA(),INDEX(CSV!$A:$A,$H$2+372)*1))</f>
        <v/>
      </c>
      <c r="J373">
        <f>IF($H$2="",NA(),IF(INDEX(CSV!$B:$B,$H$2+372)="",NA(),INDEX(CSV!$B:$B,$H$2+372)*1))</f>
        <v/>
      </c>
      <c r="K373">
        <f>IF($H$2="",NA(),IF(INDEX(CSV!$C:$C,$H$2+372)="",NA(),INDEX(CSV!$C:$C,$H$2+372)*1))</f>
        <v/>
      </c>
    </row>
    <row r="374">
      <c r="I374">
        <f>IF($H$2="",NA(),IF(INDEX(CSV!$A:$A,$H$2+373)="",NA(),INDEX(CSV!$A:$A,$H$2+373)*1))</f>
        <v/>
      </c>
      <c r="J374">
        <f>IF($H$2="",NA(),IF(INDEX(CSV!$B:$B,$H$2+373)="",NA(),INDEX(CSV!$B:$B,$H$2+373)*1))</f>
        <v/>
      </c>
      <c r="K374">
        <f>IF($H$2="",NA(),IF(INDEX(CSV!$C:$C,$H$2+373)="",NA(),INDEX(CSV!$C:$C,$H$2+373)*1))</f>
        <v/>
      </c>
    </row>
    <row r="375">
      <c r="I375">
        <f>IF($H$2="",NA(),IF(INDEX(CSV!$A:$A,$H$2+374)="",NA(),INDEX(CSV!$A:$A,$H$2+374)*1))</f>
        <v/>
      </c>
      <c r="J375">
        <f>IF($H$2="",NA(),IF(INDEX(CSV!$B:$B,$H$2+374)="",NA(),INDEX(CSV!$B:$B,$H$2+374)*1))</f>
        <v/>
      </c>
      <c r="K375">
        <f>IF($H$2="",NA(),IF(INDEX(CSV!$C:$C,$H$2+374)="",NA(),INDEX(CSV!$C:$C,$H$2+374)*1))</f>
        <v/>
      </c>
    </row>
    <row r="376">
      <c r="I376">
        <f>IF($H$2="",NA(),IF(INDEX(CSV!$A:$A,$H$2+375)="",NA(),INDEX(CSV!$A:$A,$H$2+375)*1))</f>
        <v/>
      </c>
      <c r="J376">
        <f>IF($H$2="",NA(),IF(INDEX(CSV!$B:$B,$H$2+375)="",NA(),INDEX(CSV!$B:$B,$H$2+375)*1))</f>
        <v/>
      </c>
      <c r="K376">
        <f>IF($H$2="",NA(),IF(INDEX(CSV!$C:$C,$H$2+375)="",NA(),INDEX(CSV!$C:$C,$H$2+375)*1))</f>
        <v/>
      </c>
    </row>
    <row r="377">
      <c r="I377">
        <f>IF($H$2="",NA(),IF(INDEX(CSV!$A:$A,$H$2+376)="",NA(),INDEX(CSV!$A:$A,$H$2+376)*1))</f>
        <v/>
      </c>
      <c r="J377">
        <f>IF($H$2="",NA(),IF(INDEX(CSV!$B:$B,$H$2+376)="",NA(),INDEX(CSV!$B:$B,$H$2+376)*1))</f>
        <v/>
      </c>
      <c r="K377">
        <f>IF($H$2="",NA(),IF(INDEX(CSV!$C:$C,$H$2+376)="",NA(),INDEX(CSV!$C:$C,$H$2+376)*1))</f>
        <v/>
      </c>
    </row>
    <row r="378">
      <c r="I378">
        <f>IF($H$2="",NA(),IF(INDEX(CSV!$A:$A,$H$2+377)="",NA(),INDEX(CSV!$A:$A,$H$2+377)*1))</f>
        <v/>
      </c>
      <c r="J378">
        <f>IF($H$2="",NA(),IF(INDEX(CSV!$B:$B,$H$2+377)="",NA(),INDEX(CSV!$B:$B,$H$2+377)*1))</f>
        <v/>
      </c>
      <c r="K378">
        <f>IF($H$2="",NA(),IF(INDEX(CSV!$C:$C,$H$2+377)="",NA(),INDEX(CSV!$C:$C,$H$2+377)*1))</f>
        <v/>
      </c>
    </row>
    <row r="379">
      <c r="I379">
        <f>IF($H$2="",NA(),IF(INDEX(CSV!$A:$A,$H$2+378)="",NA(),INDEX(CSV!$A:$A,$H$2+378)*1))</f>
        <v/>
      </c>
      <c r="J379">
        <f>IF($H$2="",NA(),IF(INDEX(CSV!$B:$B,$H$2+378)="",NA(),INDEX(CSV!$B:$B,$H$2+378)*1))</f>
        <v/>
      </c>
      <c r="K379">
        <f>IF($H$2="",NA(),IF(INDEX(CSV!$C:$C,$H$2+378)="",NA(),INDEX(CSV!$C:$C,$H$2+378)*1))</f>
        <v/>
      </c>
    </row>
    <row r="380">
      <c r="I380">
        <f>IF($H$2="",NA(),IF(INDEX(CSV!$A:$A,$H$2+379)="",NA(),INDEX(CSV!$A:$A,$H$2+379)*1))</f>
        <v/>
      </c>
      <c r="J380">
        <f>IF($H$2="",NA(),IF(INDEX(CSV!$B:$B,$H$2+379)="",NA(),INDEX(CSV!$B:$B,$H$2+379)*1))</f>
        <v/>
      </c>
      <c r="K380">
        <f>IF($H$2="",NA(),IF(INDEX(CSV!$C:$C,$H$2+379)="",NA(),INDEX(CSV!$C:$C,$H$2+379)*1))</f>
        <v/>
      </c>
    </row>
    <row r="381">
      <c r="I381">
        <f>IF($H$2="",NA(),IF(INDEX(CSV!$A:$A,$H$2+380)="",NA(),INDEX(CSV!$A:$A,$H$2+380)*1))</f>
        <v/>
      </c>
      <c r="J381">
        <f>IF($H$2="",NA(),IF(INDEX(CSV!$B:$B,$H$2+380)="",NA(),INDEX(CSV!$B:$B,$H$2+380)*1))</f>
        <v/>
      </c>
      <c r="K381">
        <f>IF($H$2="",NA(),IF(INDEX(CSV!$C:$C,$H$2+380)="",NA(),INDEX(CSV!$C:$C,$H$2+380)*1))</f>
        <v/>
      </c>
    </row>
    <row r="382">
      <c r="I382">
        <f>IF($H$2="",NA(),IF(INDEX(CSV!$A:$A,$H$2+381)="",NA(),INDEX(CSV!$A:$A,$H$2+381)*1))</f>
        <v/>
      </c>
      <c r="J382">
        <f>IF($H$2="",NA(),IF(INDEX(CSV!$B:$B,$H$2+381)="",NA(),INDEX(CSV!$B:$B,$H$2+381)*1))</f>
        <v/>
      </c>
      <c r="K382">
        <f>IF($H$2="",NA(),IF(INDEX(CSV!$C:$C,$H$2+381)="",NA(),INDEX(CSV!$C:$C,$H$2+381)*1))</f>
        <v/>
      </c>
    </row>
    <row r="383">
      <c r="I383">
        <f>IF($H$2="",NA(),IF(INDEX(CSV!$A:$A,$H$2+382)="",NA(),INDEX(CSV!$A:$A,$H$2+382)*1))</f>
        <v/>
      </c>
      <c r="J383">
        <f>IF($H$2="",NA(),IF(INDEX(CSV!$B:$B,$H$2+382)="",NA(),INDEX(CSV!$B:$B,$H$2+382)*1))</f>
        <v/>
      </c>
      <c r="K383">
        <f>IF($H$2="",NA(),IF(INDEX(CSV!$C:$C,$H$2+382)="",NA(),INDEX(CSV!$C:$C,$H$2+382)*1))</f>
        <v/>
      </c>
    </row>
    <row r="384">
      <c r="I384">
        <f>IF($H$2="",NA(),IF(INDEX(CSV!$A:$A,$H$2+383)="",NA(),INDEX(CSV!$A:$A,$H$2+383)*1))</f>
        <v/>
      </c>
      <c r="J384">
        <f>IF($H$2="",NA(),IF(INDEX(CSV!$B:$B,$H$2+383)="",NA(),INDEX(CSV!$B:$B,$H$2+383)*1))</f>
        <v/>
      </c>
      <c r="K384">
        <f>IF($H$2="",NA(),IF(INDEX(CSV!$C:$C,$H$2+383)="",NA(),INDEX(CSV!$C:$C,$H$2+383)*1))</f>
        <v/>
      </c>
    </row>
    <row r="385">
      <c r="I385">
        <f>IF($H$2="",NA(),IF(INDEX(CSV!$A:$A,$H$2+384)="",NA(),INDEX(CSV!$A:$A,$H$2+384)*1))</f>
        <v/>
      </c>
      <c r="J385">
        <f>IF($H$2="",NA(),IF(INDEX(CSV!$B:$B,$H$2+384)="",NA(),INDEX(CSV!$B:$B,$H$2+384)*1))</f>
        <v/>
      </c>
      <c r="K385">
        <f>IF($H$2="",NA(),IF(INDEX(CSV!$C:$C,$H$2+384)="",NA(),INDEX(CSV!$C:$C,$H$2+384)*1))</f>
        <v/>
      </c>
    </row>
    <row r="386">
      <c r="I386">
        <f>IF($H$2="",NA(),IF(INDEX(CSV!$A:$A,$H$2+385)="",NA(),INDEX(CSV!$A:$A,$H$2+385)*1))</f>
        <v/>
      </c>
      <c r="J386">
        <f>IF($H$2="",NA(),IF(INDEX(CSV!$B:$B,$H$2+385)="",NA(),INDEX(CSV!$B:$B,$H$2+385)*1))</f>
        <v/>
      </c>
      <c r="K386">
        <f>IF($H$2="",NA(),IF(INDEX(CSV!$C:$C,$H$2+385)="",NA(),INDEX(CSV!$C:$C,$H$2+385)*1))</f>
        <v/>
      </c>
    </row>
    <row r="387">
      <c r="I387">
        <f>IF($H$2="",NA(),IF(INDEX(CSV!$A:$A,$H$2+386)="",NA(),INDEX(CSV!$A:$A,$H$2+386)*1))</f>
        <v/>
      </c>
      <c r="J387">
        <f>IF($H$2="",NA(),IF(INDEX(CSV!$B:$B,$H$2+386)="",NA(),INDEX(CSV!$B:$B,$H$2+386)*1))</f>
        <v/>
      </c>
      <c r="K387">
        <f>IF($H$2="",NA(),IF(INDEX(CSV!$C:$C,$H$2+386)="",NA(),INDEX(CSV!$C:$C,$H$2+386)*1))</f>
        <v/>
      </c>
    </row>
    <row r="388">
      <c r="I388">
        <f>IF($H$2="",NA(),IF(INDEX(CSV!$A:$A,$H$2+387)="",NA(),INDEX(CSV!$A:$A,$H$2+387)*1))</f>
        <v/>
      </c>
      <c r="J388">
        <f>IF($H$2="",NA(),IF(INDEX(CSV!$B:$B,$H$2+387)="",NA(),INDEX(CSV!$B:$B,$H$2+387)*1))</f>
        <v/>
      </c>
      <c r="K388">
        <f>IF($H$2="",NA(),IF(INDEX(CSV!$C:$C,$H$2+387)="",NA(),INDEX(CSV!$C:$C,$H$2+387)*1))</f>
        <v/>
      </c>
    </row>
    <row r="389">
      <c r="I389">
        <f>IF($H$2="",NA(),IF(INDEX(CSV!$A:$A,$H$2+388)="",NA(),INDEX(CSV!$A:$A,$H$2+388)*1))</f>
        <v/>
      </c>
      <c r="J389">
        <f>IF($H$2="",NA(),IF(INDEX(CSV!$B:$B,$H$2+388)="",NA(),INDEX(CSV!$B:$B,$H$2+388)*1))</f>
        <v/>
      </c>
      <c r="K389">
        <f>IF($H$2="",NA(),IF(INDEX(CSV!$C:$C,$H$2+388)="",NA(),INDEX(CSV!$C:$C,$H$2+388)*1))</f>
        <v/>
      </c>
    </row>
    <row r="390">
      <c r="I390">
        <f>IF($H$2="",NA(),IF(INDEX(CSV!$A:$A,$H$2+389)="",NA(),INDEX(CSV!$A:$A,$H$2+389)*1))</f>
        <v/>
      </c>
      <c r="J390">
        <f>IF($H$2="",NA(),IF(INDEX(CSV!$B:$B,$H$2+389)="",NA(),INDEX(CSV!$B:$B,$H$2+389)*1))</f>
        <v/>
      </c>
      <c r="K390">
        <f>IF($H$2="",NA(),IF(INDEX(CSV!$C:$C,$H$2+389)="",NA(),INDEX(CSV!$C:$C,$H$2+389)*1))</f>
        <v/>
      </c>
    </row>
    <row r="391">
      <c r="I391">
        <f>IF($H$2="",NA(),IF(INDEX(CSV!$A:$A,$H$2+390)="",NA(),INDEX(CSV!$A:$A,$H$2+390)*1))</f>
        <v/>
      </c>
      <c r="J391">
        <f>IF($H$2="",NA(),IF(INDEX(CSV!$B:$B,$H$2+390)="",NA(),INDEX(CSV!$B:$B,$H$2+390)*1))</f>
        <v/>
      </c>
      <c r="K391">
        <f>IF($H$2="",NA(),IF(INDEX(CSV!$C:$C,$H$2+390)="",NA(),INDEX(CSV!$C:$C,$H$2+390)*1))</f>
        <v/>
      </c>
    </row>
    <row r="392">
      <c r="I392">
        <f>IF($H$2="",NA(),IF(INDEX(CSV!$A:$A,$H$2+391)="",NA(),INDEX(CSV!$A:$A,$H$2+391)*1))</f>
        <v/>
      </c>
      <c r="J392">
        <f>IF($H$2="",NA(),IF(INDEX(CSV!$B:$B,$H$2+391)="",NA(),INDEX(CSV!$B:$B,$H$2+391)*1))</f>
        <v/>
      </c>
      <c r="K392">
        <f>IF($H$2="",NA(),IF(INDEX(CSV!$C:$C,$H$2+391)="",NA(),INDEX(CSV!$C:$C,$H$2+391)*1))</f>
        <v/>
      </c>
    </row>
    <row r="393">
      <c r="I393">
        <f>IF($H$2="",NA(),IF(INDEX(CSV!$A:$A,$H$2+392)="",NA(),INDEX(CSV!$A:$A,$H$2+392)*1))</f>
        <v/>
      </c>
      <c r="J393">
        <f>IF($H$2="",NA(),IF(INDEX(CSV!$B:$B,$H$2+392)="",NA(),INDEX(CSV!$B:$B,$H$2+392)*1))</f>
        <v/>
      </c>
      <c r="K393">
        <f>IF($H$2="",NA(),IF(INDEX(CSV!$C:$C,$H$2+392)="",NA(),INDEX(CSV!$C:$C,$H$2+392)*1))</f>
        <v/>
      </c>
    </row>
    <row r="394">
      <c r="I394">
        <f>IF($H$2="",NA(),IF(INDEX(CSV!$A:$A,$H$2+393)="",NA(),INDEX(CSV!$A:$A,$H$2+393)*1))</f>
        <v/>
      </c>
      <c r="J394">
        <f>IF($H$2="",NA(),IF(INDEX(CSV!$B:$B,$H$2+393)="",NA(),INDEX(CSV!$B:$B,$H$2+393)*1))</f>
        <v/>
      </c>
      <c r="K394">
        <f>IF($H$2="",NA(),IF(INDEX(CSV!$C:$C,$H$2+393)="",NA(),INDEX(CSV!$C:$C,$H$2+393)*1))</f>
        <v/>
      </c>
    </row>
    <row r="395">
      <c r="I395">
        <f>IF($H$2="",NA(),IF(INDEX(CSV!$A:$A,$H$2+394)="",NA(),INDEX(CSV!$A:$A,$H$2+394)*1))</f>
        <v/>
      </c>
      <c r="J395">
        <f>IF($H$2="",NA(),IF(INDEX(CSV!$B:$B,$H$2+394)="",NA(),INDEX(CSV!$B:$B,$H$2+394)*1))</f>
        <v/>
      </c>
      <c r="K395">
        <f>IF($H$2="",NA(),IF(INDEX(CSV!$C:$C,$H$2+394)="",NA(),INDEX(CSV!$C:$C,$H$2+394)*1))</f>
        <v/>
      </c>
    </row>
    <row r="396">
      <c r="I396">
        <f>IF($H$2="",NA(),IF(INDEX(CSV!$A:$A,$H$2+395)="",NA(),INDEX(CSV!$A:$A,$H$2+395)*1))</f>
        <v/>
      </c>
      <c r="J396">
        <f>IF($H$2="",NA(),IF(INDEX(CSV!$B:$B,$H$2+395)="",NA(),INDEX(CSV!$B:$B,$H$2+395)*1))</f>
        <v/>
      </c>
      <c r="K396">
        <f>IF($H$2="",NA(),IF(INDEX(CSV!$C:$C,$H$2+395)="",NA(),INDEX(CSV!$C:$C,$H$2+395)*1))</f>
        <v/>
      </c>
    </row>
    <row r="397">
      <c r="I397">
        <f>IF($H$2="",NA(),IF(INDEX(CSV!$A:$A,$H$2+396)="",NA(),INDEX(CSV!$A:$A,$H$2+396)*1))</f>
        <v/>
      </c>
      <c r="J397">
        <f>IF($H$2="",NA(),IF(INDEX(CSV!$B:$B,$H$2+396)="",NA(),INDEX(CSV!$B:$B,$H$2+396)*1))</f>
        <v/>
      </c>
      <c r="K397">
        <f>IF($H$2="",NA(),IF(INDEX(CSV!$C:$C,$H$2+396)="",NA(),INDEX(CSV!$C:$C,$H$2+396)*1))</f>
        <v/>
      </c>
    </row>
    <row r="398">
      <c r="I398">
        <f>IF($H$2="",NA(),IF(INDEX(CSV!$A:$A,$H$2+397)="",NA(),INDEX(CSV!$A:$A,$H$2+397)*1))</f>
        <v/>
      </c>
      <c r="J398">
        <f>IF($H$2="",NA(),IF(INDEX(CSV!$B:$B,$H$2+397)="",NA(),INDEX(CSV!$B:$B,$H$2+397)*1))</f>
        <v/>
      </c>
      <c r="K398">
        <f>IF($H$2="",NA(),IF(INDEX(CSV!$C:$C,$H$2+397)="",NA(),INDEX(CSV!$C:$C,$H$2+397)*1))</f>
        <v/>
      </c>
    </row>
    <row r="399">
      <c r="I399">
        <f>IF($H$2="",NA(),IF(INDEX(CSV!$A:$A,$H$2+398)="",NA(),INDEX(CSV!$A:$A,$H$2+398)*1))</f>
        <v/>
      </c>
      <c r="J399">
        <f>IF($H$2="",NA(),IF(INDEX(CSV!$B:$B,$H$2+398)="",NA(),INDEX(CSV!$B:$B,$H$2+398)*1))</f>
        <v/>
      </c>
      <c r="K399">
        <f>IF($H$2="",NA(),IF(INDEX(CSV!$C:$C,$H$2+398)="",NA(),INDEX(CSV!$C:$C,$H$2+398)*1))</f>
        <v/>
      </c>
    </row>
    <row r="400">
      <c r="I400">
        <f>IF($H$2="",NA(),IF(INDEX(CSV!$A:$A,$H$2+399)="",NA(),INDEX(CSV!$A:$A,$H$2+399)*1))</f>
        <v/>
      </c>
      <c r="J400">
        <f>IF($H$2="",NA(),IF(INDEX(CSV!$B:$B,$H$2+399)="",NA(),INDEX(CSV!$B:$B,$H$2+399)*1))</f>
        <v/>
      </c>
      <c r="K400">
        <f>IF($H$2="",NA(),IF(INDEX(CSV!$C:$C,$H$2+399)="",NA(),INDEX(CSV!$C:$C,$H$2+399)*1))</f>
        <v/>
      </c>
    </row>
    <row r="401">
      <c r="I401">
        <f>IF($H$2="",NA(),IF(INDEX(CSV!$A:$A,$H$2+400)="",NA(),INDEX(CSV!$A:$A,$H$2+400)*1))</f>
        <v/>
      </c>
      <c r="J401">
        <f>IF($H$2="",NA(),IF(INDEX(CSV!$B:$B,$H$2+400)="",NA(),INDEX(CSV!$B:$B,$H$2+400)*1))</f>
        <v/>
      </c>
      <c r="K401">
        <f>IF($H$2="",NA(),IF(INDEX(CSV!$C:$C,$H$2+400)="",NA(),INDEX(CSV!$C:$C,$H$2+400)*1))</f>
        <v/>
      </c>
    </row>
  </sheetData>
  <mergeCells count="2">
    <mergeCell ref="B26:G26"/>
    <mergeCell ref="B25:G25"/>
  </mergeCells>
  <conditionalFormatting sqref="B4">
    <cfRule type="expression" priority="1" dxfId="0">
      <formula>B4="NO COINCIDE"</formula>
    </cfRule>
    <cfRule type="expression" priority="2" dxfId="1">
      <formula>B4="OK"</formula>
    </cfRule>
  </conditionalFormatting>
  <conditionalFormatting sqref="B7">
    <cfRule type="expression" priority="3" dxfId="0">
      <formula>ISNUMBER(SEARCH("SINT",B7))</formula>
    </cfRule>
  </conditionalFormatting>
  <conditionalFormatting sqref="I2:K401">
    <cfRule type="expression" priority="4" dxfId="2">
      <formula>ISNA(I2)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 aquí tu CSV: Archivo → Importar → Subir → Reemplazar la hoja 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2026-10-25T02:42:02Z</dcterms:created>
  <dcterms:modified xmlns:dcterms="http://purl.org/dc/terms/" xmlns:xsi="http://www.w3.org/2001/XMLSchema-instance" xsi:type="dcterms:W3CDTF">2026-10-25T02:42:02Z</dcterms:modified>
</cp:coreProperties>
</file>