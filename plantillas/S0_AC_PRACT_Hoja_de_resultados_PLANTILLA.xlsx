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 real y registrada · (tu nombre)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'Resultados'!$I$2:$I$169</f>
            </numRef>
          </cat>
          <val>
            <numRef>
              <f>'Resultados'!$J$2:$J$169</f>
            </numRef>
          </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'Resultados'!$I$2:$I$169</f>
            </numRef>
          </cat>
          <val>
            <numRef>
              <f>'Resultados'!$K$2:$K$169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Lectura (h)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Lectura (h)</t>
        </is>
      </c>
      <c r="J1" s="3">
        <f>"Real · "&amp;$B$1</f>
        <v/>
      </c>
      <c r="K1" s="3">
        <f>"Registrada · "&amp;$B$1</f>
        <v/>
      </c>
    </row>
    <row r="2">
      <c r="A2" t="inlineStr">
        <is>
          <t>Código de alumno ✎</t>
        </is>
      </c>
      <c r="B2" s="1" t="n"/>
      <c r="H2">
        <f>IFERROR(MATCH("fecha",CSV!$A:$A,0),"")</f>
        <v/>
      </c>
      <c r="I2">
        <f>IF(ISNA(J2),NA(),0)</f>
        <v/>
      </c>
      <c r="J2">
        <f>IF($H$2="",NA(),IFERROR(INDEX(CSV!$B:$B,$H$2+1)*1,NA()))</f>
        <v/>
      </c>
      <c r="K2">
        <f>IF($H$2="",NA(),IFERROR(INDEX(CSV!$C:$C,$H$2+1)*1,NA()))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IF(ISNA(J3),NA(),1)</f>
        <v/>
      </c>
      <c r="J3">
        <f>IF($H$2="",NA(),IFERROR(INDEX(CSV!$B:$B,$H$2+2)*1,NA()))</f>
        <v/>
      </c>
      <c r="K3">
        <f>IF($H$2="",NA(),IFERROR(INDEX(CSV!$C:$C,$H$2+2)*1,NA()))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IF(ISNA(J4),NA(),2)</f>
        <v/>
      </c>
      <c r="J4">
        <f>IF($H$2="",NA(),IFERROR(INDEX(CSV!$B:$B,$H$2+3)*1,NA()))</f>
        <v/>
      </c>
      <c r="K4">
        <f>IF($H$2="",NA(),IFERROR(INDEX(CSV!$C:$C,$H$2+3)*1,NA()))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IF(ISNA(J5),NA(),3)</f>
        <v/>
      </c>
      <c r="J5">
        <f>IF($H$2="",NA(),IFERROR(INDEX(CSV!$B:$B,$H$2+4)*1,NA()))</f>
        <v/>
      </c>
      <c r="K5">
        <f>IF($H$2="",NA(),IFERROR(INDEX(CSV!$C:$C,$H$2+4)*1,NA()))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IF(ISNA(J6),NA(),4)</f>
        <v/>
      </c>
      <c r="J6">
        <f>IF($H$2="",NA(),IFERROR(INDEX(CSV!$B:$B,$H$2+5)*1,NA()))</f>
        <v/>
      </c>
      <c r="K6">
        <f>IF($H$2="",NA(),IFERROR(INDEX(CSV!$C:$C,$H$2+5)*1,NA()))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IF(ISNA(J7),NA(),5)</f>
        <v/>
      </c>
      <c r="J7">
        <f>IF($H$2="",NA(),IFERROR(INDEX(CSV!$B:$B,$H$2+6)*1,NA()))</f>
        <v/>
      </c>
      <c r="K7">
        <f>IF($H$2="",NA(),IFERROR(INDEX(CSV!$C:$C,$H$2+6)*1,NA()))</f>
        <v/>
      </c>
    </row>
    <row r="8">
      <c r="A8" t="inlineStr">
        <is>
          <t>Semana</t>
        </is>
      </c>
      <c r="B8">
        <f>IFERROR(VLOOKUP("semana",CSV!$A:$B,2,FALSE),"")</f>
        <v/>
      </c>
      <c r="I8">
        <f>IF(ISNA(J8),NA(),6)</f>
        <v/>
      </c>
      <c r="J8">
        <f>IF($H$2="",NA(),IFERROR(INDEX(CSV!$B:$B,$H$2+7)*1,NA()))</f>
        <v/>
      </c>
      <c r="K8">
        <f>IF($H$2="",NA(),IFERROR(INDEX(CSV!$C:$C,$H$2+7)*1,NA()))</f>
        <v/>
      </c>
    </row>
    <row r="9">
      <c r="I9">
        <f>IF(ISNA(J9),NA(),7)</f>
        <v/>
      </c>
      <c r="J9">
        <f>IF($H$2="",NA(),IFERROR(INDEX(CSV!$B:$B,$H$2+8)*1,NA()))</f>
        <v/>
      </c>
      <c r="K9">
        <f>IF($H$2="",NA(),IFERROR(INDEX(CSV!$C:$C,$H$2+8)*1,NA()))</f>
        <v/>
      </c>
    </row>
    <row r="10">
      <c r="A10" s="3" t="inlineStr">
        <is>
          <t>Predicho contra obtenido</t>
        </is>
      </c>
      <c r="I10">
        <f>IF(ISNA(J10),NA(),8)</f>
        <v/>
      </c>
      <c r="J10">
        <f>IF($H$2="",NA(),IFERROR(INDEX(CSV!$B:$B,$H$2+9)*1,NA()))</f>
        <v/>
      </c>
      <c r="K10">
        <f>IF($H$2="",NA(),IFERROR(INDEX(CSV!$C:$C,$H$2+9)*1,NA()))</f>
        <v/>
      </c>
    </row>
    <row r="11">
      <c r="A11" t="inlineStr">
        <is>
          <t>LSB de tu convertidor (°C)</t>
        </is>
      </c>
      <c r="B11" s="4">
        <f>IFERROR(VLOOKUP("resultado:lsb_C",CSV!$A:$B,2,FALSE),"")</f>
        <v/>
      </c>
      <c r="I11">
        <f>IF(ISNA(J11),NA(),9)</f>
        <v/>
      </c>
      <c r="J11">
        <f>IF($H$2="",NA(),IFERROR(INDEX(CSV!$B:$B,$H$2+10)*1,NA()))</f>
        <v/>
      </c>
      <c r="K11">
        <f>IF($H$2="",NA(),IFERROR(INDEX(CSV!$C:$C,$H$2+10)*1,NA()))</f>
        <v/>
      </c>
    </row>
    <row r="12">
      <c r="A12" t="inlineStr">
        <is>
          <t>Error máximo predicho, ejercicio 2 (°C)</t>
        </is>
      </c>
      <c r="B12" s="4">
        <f>IFERROR(VLOOKUP("resultado:error_predicho_C",CSV!$A:$B,2,FALSE),"")</f>
        <v/>
      </c>
      <c r="I12">
        <f>IF(ISNA(J12),NA(),10)</f>
        <v/>
      </c>
      <c r="J12">
        <f>IF($H$2="",NA(),IFERROR(INDEX(CSV!$B:$B,$H$2+11)*1,NA()))</f>
        <v/>
      </c>
      <c r="K12">
        <f>IF($H$2="",NA(),IFERROR(INDEX(CSV!$C:$C,$H$2+11)*1,NA()))</f>
        <v/>
      </c>
    </row>
    <row r="13">
      <c r="A13" t="inlineStr">
        <is>
          <t>Error máximo obtenido con datos reales (°C)</t>
        </is>
      </c>
      <c r="B13" s="4">
        <f>IFERROR(VLOOKUP("resultado:error_obtenido_C",CSV!$A:$B,2,FALSE),"")</f>
        <v/>
      </c>
      <c r="I13">
        <f>IF(ISNA(J13),NA(),11)</f>
        <v/>
      </c>
      <c r="J13">
        <f>IF($H$2="",NA(),IFERROR(INDEX(CSV!$B:$B,$H$2+12)*1,NA()))</f>
        <v/>
      </c>
      <c r="K13">
        <f>IF($H$2="",NA(),IFERROR(INDEX(CSV!$C:$C,$H$2+12)*1,NA()))</f>
        <v/>
      </c>
    </row>
    <row r="14">
      <c r="A14" t="inlineStr">
        <is>
          <t>Diferencia, obtenido contra predicho (%)</t>
        </is>
      </c>
      <c r="B14" s="5">
        <f>IF(OR(B12="",B13=""),"",(B13-B12)/B12*100)</f>
        <v/>
      </c>
      <c r="I14">
        <f>IF(ISNA(J14),NA(),12)</f>
        <v/>
      </c>
      <c r="J14">
        <f>IF($H$2="",NA(),IFERROR(INDEX(CSV!$B:$B,$H$2+13)*1,NA()))</f>
        <v/>
      </c>
      <c r="K14">
        <f>IF($H$2="",NA(),IFERROR(INDEX(CSV!$C:$C,$H$2+13)*1,NA()))</f>
        <v/>
      </c>
    </row>
    <row r="15">
      <c r="A15" t="inlineStr">
        <is>
          <t>¿El error obtenido queda dentro de lo predicho?</t>
        </is>
      </c>
      <c r="B15">
        <f>IF(B13="","",IF(B13&lt;=B12,"Sí","No"))</f>
        <v/>
      </c>
      <c r="I15">
        <f>IF(ISNA(J15),NA(),13)</f>
        <v/>
      </c>
      <c r="J15">
        <f>IF($H$2="",NA(),IFERROR(INDEX(CSV!$B:$B,$H$2+14)*1,NA()))</f>
        <v/>
      </c>
      <c r="K15">
        <f>IF($H$2="",NA(),IFERROR(INDEX(CSV!$C:$C,$H$2+14)*1,NA()))</f>
        <v/>
      </c>
    </row>
    <row r="16">
      <c r="I16">
        <f>IF(ISNA(J16),NA(),14)</f>
        <v/>
      </c>
      <c r="J16">
        <f>IF($H$2="",NA(),IFERROR(INDEX(CSV!$B:$B,$H$2+15)*1,NA()))</f>
        <v/>
      </c>
      <c r="K16">
        <f>IF($H$2="",NA(),IFERROR(INDEX(CSV!$C:$C,$H$2+15)*1,NA()))</f>
        <v/>
      </c>
    </row>
    <row r="17">
      <c r="A17" s="3" t="inlineStr">
        <is>
          <t>Preguntas del reporte ✎</t>
        </is>
      </c>
      <c r="I17">
        <f>IF(ISNA(J17),NA(),15)</f>
        <v/>
      </c>
      <c r="J17">
        <f>IF($H$2="",NA(),IFERROR(INDEX(CSV!$B:$B,$H$2+16)*1,NA()))</f>
        <v/>
      </c>
      <c r="K17">
        <f>IF($H$2="",NA(),IFERROR(INDEX(CSV!$C:$C,$H$2+16)*1,NA()))</f>
        <v/>
      </c>
    </row>
    <row r="18" ht="70" customHeight="1">
      <c r="A18" s="6" t="inlineStr">
        <is>
          <t>1. ¿Por qué el error obtenido no pasa de medio LSB? Usa tus números.</t>
        </is>
      </c>
      <c r="B18" s="7" t="n"/>
      <c r="I18">
        <f>IF(ISNA(J18),NA(),16)</f>
        <v/>
      </c>
      <c r="J18">
        <f>IF($H$2="",NA(),IFERROR(INDEX(CSV!$B:$B,$H$2+17)*1,NA()))</f>
        <v/>
      </c>
      <c r="K18">
        <f>IF($H$2="",NA(),IFERROR(INDEX(CSV!$C:$C,$H$2+17)*1,NA()))</f>
        <v/>
      </c>
    </row>
    <row r="19" ht="70" customHeight="1">
      <c r="A19" s="6" t="inlineStr">
        <is>
          <t>2. Para registrar la temperatura de un horno de reflujo (de 25 a 260 °C), ¿qué convertidor (bits) e intervalo elegirías y por qué?</t>
        </is>
      </c>
      <c r="B19" s="7" t="n"/>
      <c r="I19">
        <f>IF(ISNA(J19),NA(),17)</f>
        <v/>
      </c>
      <c r="J19">
        <f>IF($H$2="",NA(),IFERROR(INDEX(CSV!$B:$B,$H$2+18)*1,NA()))</f>
        <v/>
      </c>
      <c r="K19">
        <f>IF($H$2="",NA(),IFERROR(INDEX(CSV!$C:$C,$H$2+18)*1,NA()))</f>
        <v/>
      </c>
    </row>
    <row r="20">
      <c r="I20">
        <f>IF(ISNA(J20),NA(),18)</f>
        <v/>
      </c>
      <c r="J20">
        <f>IF($H$2="",NA(),IFERROR(INDEX(CSV!$B:$B,$H$2+19)*1,NA()))</f>
        <v/>
      </c>
      <c r="K20">
        <f>IF($H$2="",NA(),IFERROR(INDEX(CSV!$C:$C,$H$2+19)*1,NA()))</f>
        <v/>
      </c>
    </row>
    <row r="21">
      <c r="A21" s="2" t="inlineStr">
        <is>
          <t>La gráfica se arma sola al importar tu CSV. Cambia su título por tu nombre (doble clic en el título); la leyenda ya lo toma de B1.</t>
        </is>
      </c>
      <c r="I21">
        <f>IF(ISNA(J21),NA(),19)</f>
        <v/>
      </c>
      <c r="J21">
        <f>IF($H$2="",NA(),IFERROR(INDEX(CSV!$B:$B,$H$2+20)*1,NA()))</f>
        <v/>
      </c>
      <c r="K21">
        <f>IF($H$2="",NA(),IFERROR(INDEX(CSV!$C:$C,$H$2+20)*1,NA()))</f>
        <v/>
      </c>
    </row>
    <row r="22">
      <c r="I22">
        <f>IF(ISNA(J22),NA(),20)</f>
        <v/>
      </c>
      <c r="J22">
        <f>IF($H$2="",NA(),IFERROR(INDEX(CSV!$B:$B,$H$2+21)*1,NA()))</f>
        <v/>
      </c>
      <c r="K22">
        <f>IF($H$2="",NA(),IFERROR(INDEX(CSV!$C:$C,$H$2+21)*1,NA()))</f>
        <v/>
      </c>
    </row>
    <row r="23">
      <c r="I23">
        <f>IF(ISNA(J23),NA(),21)</f>
        <v/>
      </c>
      <c r="J23">
        <f>IF($H$2="",NA(),IFERROR(INDEX(CSV!$B:$B,$H$2+22)*1,NA()))</f>
        <v/>
      </c>
      <c r="K23">
        <f>IF($H$2="",NA(),IFERROR(INDEX(CSV!$C:$C,$H$2+22)*1,NA()))</f>
        <v/>
      </c>
    </row>
    <row r="24">
      <c r="I24">
        <f>IF(ISNA(J24),NA(),22)</f>
        <v/>
      </c>
      <c r="J24">
        <f>IF($H$2="",NA(),IFERROR(INDEX(CSV!$B:$B,$H$2+23)*1,NA()))</f>
        <v/>
      </c>
      <c r="K24">
        <f>IF($H$2="",NA(),IFERROR(INDEX(CSV!$C:$C,$H$2+23)*1,NA()))</f>
        <v/>
      </c>
    </row>
    <row r="25">
      <c r="I25">
        <f>IF(ISNA(J25),NA(),23)</f>
        <v/>
      </c>
      <c r="J25">
        <f>IF($H$2="",NA(),IFERROR(INDEX(CSV!$B:$B,$H$2+24)*1,NA()))</f>
        <v/>
      </c>
      <c r="K25">
        <f>IF($H$2="",NA(),IFERROR(INDEX(CSV!$C:$C,$H$2+24)*1,NA()))</f>
        <v/>
      </c>
    </row>
    <row r="26">
      <c r="I26">
        <f>IF(ISNA(J26),NA(),24)</f>
        <v/>
      </c>
      <c r="J26">
        <f>IF($H$2="",NA(),IFERROR(INDEX(CSV!$B:$B,$H$2+25)*1,NA()))</f>
        <v/>
      </c>
      <c r="K26">
        <f>IF($H$2="",NA(),IFERROR(INDEX(CSV!$C:$C,$H$2+25)*1,NA()))</f>
        <v/>
      </c>
    </row>
    <row r="27">
      <c r="I27">
        <f>IF(ISNA(J27),NA(),25)</f>
        <v/>
      </c>
      <c r="J27">
        <f>IF($H$2="",NA(),IFERROR(INDEX(CSV!$B:$B,$H$2+26)*1,NA()))</f>
        <v/>
      </c>
      <c r="K27">
        <f>IF($H$2="",NA(),IFERROR(INDEX(CSV!$C:$C,$H$2+26)*1,NA()))</f>
        <v/>
      </c>
    </row>
    <row r="28">
      <c r="I28">
        <f>IF(ISNA(J28),NA(),26)</f>
        <v/>
      </c>
      <c r="J28">
        <f>IF($H$2="",NA(),IFERROR(INDEX(CSV!$B:$B,$H$2+27)*1,NA()))</f>
        <v/>
      </c>
      <c r="K28">
        <f>IF($H$2="",NA(),IFERROR(INDEX(CSV!$C:$C,$H$2+27)*1,NA()))</f>
        <v/>
      </c>
    </row>
    <row r="29">
      <c r="I29">
        <f>IF(ISNA(J29),NA(),27)</f>
        <v/>
      </c>
      <c r="J29">
        <f>IF($H$2="",NA(),IFERROR(INDEX(CSV!$B:$B,$H$2+28)*1,NA()))</f>
        <v/>
      </c>
      <c r="K29">
        <f>IF($H$2="",NA(),IFERROR(INDEX(CSV!$C:$C,$H$2+28)*1,NA()))</f>
        <v/>
      </c>
    </row>
    <row r="30">
      <c r="I30">
        <f>IF(ISNA(J30),NA(),28)</f>
        <v/>
      </c>
      <c r="J30">
        <f>IF($H$2="",NA(),IFERROR(INDEX(CSV!$B:$B,$H$2+29)*1,NA()))</f>
        <v/>
      </c>
      <c r="K30">
        <f>IF($H$2="",NA(),IFERROR(INDEX(CSV!$C:$C,$H$2+29)*1,NA()))</f>
        <v/>
      </c>
    </row>
    <row r="31">
      <c r="I31">
        <f>IF(ISNA(J31),NA(),29)</f>
        <v/>
      </c>
      <c r="J31">
        <f>IF($H$2="",NA(),IFERROR(INDEX(CSV!$B:$B,$H$2+30)*1,NA()))</f>
        <v/>
      </c>
      <c r="K31">
        <f>IF($H$2="",NA(),IFERROR(INDEX(CSV!$C:$C,$H$2+30)*1,NA()))</f>
        <v/>
      </c>
    </row>
    <row r="32">
      <c r="I32">
        <f>IF(ISNA(J32),NA(),30)</f>
        <v/>
      </c>
      <c r="J32">
        <f>IF($H$2="",NA(),IFERROR(INDEX(CSV!$B:$B,$H$2+31)*1,NA()))</f>
        <v/>
      </c>
      <c r="K32">
        <f>IF($H$2="",NA(),IFERROR(INDEX(CSV!$C:$C,$H$2+31)*1,NA()))</f>
        <v/>
      </c>
    </row>
    <row r="33">
      <c r="I33">
        <f>IF(ISNA(J33),NA(),31)</f>
        <v/>
      </c>
      <c r="J33">
        <f>IF($H$2="",NA(),IFERROR(INDEX(CSV!$B:$B,$H$2+32)*1,NA()))</f>
        <v/>
      </c>
      <c r="K33">
        <f>IF($H$2="",NA(),IFERROR(INDEX(CSV!$C:$C,$H$2+32)*1,NA()))</f>
        <v/>
      </c>
    </row>
    <row r="34">
      <c r="I34">
        <f>IF(ISNA(J34),NA(),32)</f>
        <v/>
      </c>
      <c r="J34">
        <f>IF($H$2="",NA(),IFERROR(INDEX(CSV!$B:$B,$H$2+33)*1,NA()))</f>
        <v/>
      </c>
      <c r="K34">
        <f>IF($H$2="",NA(),IFERROR(INDEX(CSV!$C:$C,$H$2+33)*1,NA()))</f>
        <v/>
      </c>
    </row>
    <row r="35">
      <c r="I35">
        <f>IF(ISNA(J35),NA(),33)</f>
        <v/>
      </c>
      <c r="J35">
        <f>IF($H$2="",NA(),IFERROR(INDEX(CSV!$B:$B,$H$2+34)*1,NA()))</f>
        <v/>
      </c>
      <c r="K35">
        <f>IF($H$2="",NA(),IFERROR(INDEX(CSV!$C:$C,$H$2+34)*1,NA()))</f>
        <v/>
      </c>
    </row>
    <row r="36">
      <c r="I36">
        <f>IF(ISNA(J36),NA(),34)</f>
        <v/>
      </c>
      <c r="J36">
        <f>IF($H$2="",NA(),IFERROR(INDEX(CSV!$B:$B,$H$2+35)*1,NA()))</f>
        <v/>
      </c>
      <c r="K36">
        <f>IF($H$2="",NA(),IFERROR(INDEX(CSV!$C:$C,$H$2+35)*1,NA()))</f>
        <v/>
      </c>
    </row>
    <row r="37">
      <c r="I37">
        <f>IF(ISNA(J37),NA(),35)</f>
        <v/>
      </c>
      <c r="J37">
        <f>IF($H$2="",NA(),IFERROR(INDEX(CSV!$B:$B,$H$2+36)*1,NA()))</f>
        <v/>
      </c>
      <c r="K37">
        <f>IF($H$2="",NA(),IFERROR(INDEX(CSV!$C:$C,$H$2+36)*1,NA()))</f>
        <v/>
      </c>
    </row>
    <row r="38">
      <c r="I38">
        <f>IF(ISNA(J38),NA(),36)</f>
        <v/>
      </c>
      <c r="J38">
        <f>IF($H$2="",NA(),IFERROR(INDEX(CSV!$B:$B,$H$2+37)*1,NA()))</f>
        <v/>
      </c>
      <c r="K38">
        <f>IF($H$2="",NA(),IFERROR(INDEX(CSV!$C:$C,$H$2+37)*1,NA()))</f>
        <v/>
      </c>
    </row>
    <row r="39">
      <c r="I39">
        <f>IF(ISNA(J39),NA(),37)</f>
        <v/>
      </c>
      <c r="J39">
        <f>IF($H$2="",NA(),IFERROR(INDEX(CSV!$B:$B,$H$2+38)*1,NA()))</f>
        <v/>
      </c>
      <c r="K39">
        <f>IF($H$2="",NA(),IFERROR(INDEX(CSV!$C:$C,$H$2+38)*1,NA()))</f>
        <v/>
      </c>
    </row>
    <row r="40">
      <c r="I40">
        <f>IF(ISNA(J40),NA(),38)</f>
        <v/>
      </c>
      <c r="J40">
        <f>IF($H$2="",NA(),IFERROR(INDEX(CSV!$B:$B,$H$2+39)*1,NA()))</f>
        <v/>
      </c>
      <c r="K40">
        <f>IF($H$2="",NA(),IFERROR(INDEX(CSV!$C:$C,$H$2+39)*1,NA()))</f>
        <v/>
      </c>
    </row>
    <row r="41">
      <c r="I41">
        <f>IF(ISNA(J41),NA(),39)</f>
        <v/>
      </c>
      <c r="J41">
        <f>IF($H$2="",NA(),IFERROR(INDEX(CSV!$B:$B,$H$2+40)*1,NA()))</f>
        <v/>
      </c>
      <c r="K41">
        <f>IF($H$2="",NA(),IFERROR(INDEX(CSV!$C:$C,$H$2+40)*1,NA()))</f>
        <v/>
      </c>
    </row>
    <row r="42">
      <c r="I42">
        <f>IF(ISNA(J42),NA(),40)</f>
        <v/>
      </c>
      <c r="J42">
        <f>IF($H$2="",NA(),IFERROR(INDEX(CSV!$B:$B,$H$2+41)*1,NA()))</f>
        <v/>
      </c>
      <c r="K42">
        <f>IF($H$2="",NA(),IFERROR(INDEX(CSV!$C:$C,$H$2+41)*1,NA()))</f>
        <v/>
      </c>
    </row>
    <row r="43">
      <c r="I43">
        <f>IF(ISNA(J43),NA(),41)</f>
        <v/>
      </c>
      <c r="J43">
        <f>IF($H$2="",NA(),IFERROR(INDEX(CSV!$B:$B,$H$2+42)*1,NA()))</f>
        <v/>
      </c>
      <c r="K43">
        <f>IF($H$2="",NA(),IFERROR(INDEX(CSV!$C:$C,$H$2+42)*1,NA()))</f>
        <v/>
      </c>
    </row>
    <row r="44">
      <c r="I44">
        <f>IF(ISNA(J44),NA(),42)</f>
        <v/>
      </c>
      <c r="J44">
        <f>IF($H$2="",NA(),IFERROR(INDEX(CSV!$B:$B,$H$2+43)*1,NA()))</f>
        <v/>
      </c>
      <c r="K44">
        <f>IF($H$2="",NA(),IFERROR(INDEX(CSV!$C:$C,$H$2+43)*1,NA()))</f>
        <v/>
      </c>
    </row>
    <row r="45">
      <c r="I45">
        <f>IF(ISNA(J45),NA(),43)</f>
        <v/>
      </c>
      <c r="J45">
        <f>IF($H$2="",NA(),IFERROR(INDEX(CSV!$B:$B,$H$2+44)*1,NA()))</f>
        <v/>
      </c>
      <c r="K45">
        <f>IF($H$2="",NA(),IFERROR(INDEX(CSV!$C:$C,$H$2+44)*1,NA()))</f>
        <v/>
      </c>
    </row>
    <row r="46">
      <c r="I46">
        <f>IF(ISNA(J46),NA(),44)</f>
        <v/>
      </c>
      <c r="J46">
        <f>IF($H$2="",NA(),IFERROR(INDEX(CSV!$B:$B,$H$2+45)*1,NA()))</f>
        <v/>
      </c>
      <c r="K46">
        <f>IF($H$2="",NA(),IFERROR(INDEX(CSV!$C:$C,$H$2+45)*1,NA()))</f>
        <v/>
      </c>
    </row>
    <row r="47">
      <c r="I47">
        <f>IF(ISNA(J47),NA(),45)</f>
        <v/>
      </c>
      <c r="J47">
        <f>IF($H$2="",NA(),IFERROR(INDEX(CSV!$B:$B,$H$2+46)*1,NA()))</f>
        <v/>
      </c>
      <c r="K47">
        <f>IF($H$2="",NA(),IFERROR(INDEX(CSV!$C:$C,$H$2+46)*1,NA()))</f>
        <v/>
      </c>
    </row>
    <row r="48">
      <c r="I48">
        <f>IF(ISNA(J48),NA(),46)</f>
        <v/>
      </c>
      <c r="J48">
        <f>IF($H$2="",NA(),IFERROR(INDEX(CSV!$B:$B,$H$2+47)*1,NA()))</f>
        <v/>
      </c>
      <c r="K48">
        <f>IF($H$2="",NA(),IFERROR(INDEX(CSV!$C:$C,$H$2+47)*1,NA()))</f>
        <v/>
      </c>
    </row>
    <row r="49">
      <c r="I49">
        <f>IF(ISNA(J49),NA(),47)</f>
        <v/>
      </c>
      <c r="J49">
        <f>IF($H$2="",NA(),IFERROR(INDEX(CSV!$B:$B,$H$2+48)*1,NA()))</f>
        <v/>
      </c>
      <c r="K49">
        <f>IF($H$2="",NA(),IFERROR(INDEX(CSV!$C:$C,$H$2+48)*1,NA()))</f>
        <v/>
      </c>
    </row>
    <row r="50">
      <c r="I50">
        <f>IF(ISNA(J50),NA(),48)</f>
        <v/>
      </c>
      <c r="J50">
        <f>IF($H$2="",NA(),IFERROR(INDEX(CSV!$B:$B,$H$2+49)*1,NA()))</f>
        <v/>
      </c>
      <c r="K50">
        <f>IF($H$2="",NA(),IFERROR(INDEX(CSV!$C:$C,$H$2+49)*1,NA()))</f>
        <v/>
      </c>
    </row>
    <row r="51">
      <c r="I51">
        <f>IF(ISNA(J51),NA(),49)</f>
        <v/>
      </c>
      <c r="J51">
        <f>IF($H$2="",NA(),IFERROR(INDEX(CSV!$B:$B,$H$2+50)*1,NA()))</f>
        <v/>
      </c>
      <c r="K51">
        <f>IF($H$2="",NA(),IFERROR(INDEX(CSV!$C:$C,$H$2+50)*1,NA()))</f>
        <v/>
      </c>
    </row>
    <row r="52">
      <c r="I52">
        <f>IF(ISNA(J52),NA(),50)</f>
        <v/>
      </c>
      <c r="J52">
        <f>IF($H$2="",NA(),IFERROR(INDEX(CSV!$B:$B,$H$2+51)*1,NA()))</f>
        <v/>
      </c>
      <c r="K52">
        <f>IF($H$2="",NA(),IFERROR(INDEX(CSV!$C:$C,$H$2+51)*1,NA()))</f>
        <v/>
      </c>
    </row>
    <row r="53">
      <c r="I53">
        <f>IF(ISNA(J53),NA(),51)</f>
        <v/>
      </c>
      <c r="J53">
        <f>IF($H$2="",NA(),IFERROR(INDEX(CSV!$B:$B,$H$2+52)*1,NA()))</f>
        <v/>
      </c>
      <c r="K53">
        <f>IF($H$2="",NA(),IFERROR(INDEX(CSV!$C:$C,$H$2+52)*1,NA()))</f>
        <v/>
      </c>
    </row>
    <row r="54">
      <c r="I54">
        <f>IF(ISNA(J54),NA(),52)</f>
        <v/>
      </c>
      <c r="J54">
        <f>IF($H$2="",NA(),IFERROR(INDEX(CSV!$B:$B,$H$2+53)*1,NA()))</f>
        <v/>
      </c>
      <c r="K54">
        <f>IF($H$2="",NA(),IFERROR(INDEX(CSV!$C:$C,$H$2+53)*1,NA()))</f>
        <v/>
      </c>
    </row>
    <row r="55">
      <c r="I55">
        <f>IF(ISNA(J55),NA(),53)</f>
        <v/>
      </c>
      <c r="J55">
        <f>IF($H$2="",NA(),IFERROR(INDEX(CSV!$B:$B,$H$2+54)*1,NA()))</f>
        <v/>
      </c>
      <c r="K55">
        <f>IF($H$2="",NA(),IFERROR(INDEX(CSV!$C:$C,$H$2+54)*1,NA()))</f>
        <v/>
      </c>
    </row>
    <row r="56">
      <c r="I56">
        <f>IF(ISNA(J56),NA(),54)</f>
        <v/>
      </c>
      <c r="J56">
        <f>IF($H$2="",NA(),IFERROR(INDEX(CSV!$B:$B,$H$2+55)*1,NA()))</f>
        <v/>
      </c>
      <c r="K56">
        <f>IF($H$2="",NA(),IFERROR(INDEX(CSV!$C:$C,$H$2+55)*1,NA()))</f>
        <v/>
      </c>
    </row>
    <row r="57">
      <c r="I57">
        <f>IF(ISNA(J57),NA(),55)</f>
        <v/>
      </c>
      <c r="J57">
        <f>IF($H$2="",NA(),IFERROR(INDEX(CSV!$B:$B,$H$2+56)*1,NA()))</f>
        <v/>
      </c>
      <c r="K57">
        <f>IF($H$2="",NA(),IFERROR(INDEX(CSV!$C:$C,$H$2+56)*1,NA()))</f>
        <v/>
      </c>
    </row>
    <row r="58">
      <c r="I58">
        <f>IF(ISNA(J58),NA(),56)</f>
        <v/>
      </c>
      <c r="J58">
        <f>IF($H$2="",NA(),IFERROR(INDEX(CSV!$B:$B,$H$2+57)*1,NA()))</f>
        <v/>
      </c>
      <c r="K58">
        <f>IF($H$2="",NA(),IFERROR(INDEX(CSV!$C:$C,$H$2+57)*1,NA()))</f>
        <v/>
      </c>
    </row>
    <row r="59">
      <c r="I59">
        <f>IF(ISNA(J59),NA(),57)</f>
        <v/>
      </c>
      <c r="J59">
        <f>IF($H$2="",NA(),IFERROR(INDEX(CSV!$B:$B,$H$2+58)*1,NA()))</f>
        <v/>
      </c>
      <c r="K59">
        <f>IF($H$2="",NA(),IFERROR(INDEX(CSV!$C:$C,$H$2+58)*1,NA()))</f>
        <v/>
      </c>
    </row>
    <row r="60">
      <c r="I60">
        <f>IF(ISNA(J60),NA(),58)</f>
        <v/>
      </c>
      <c r="J60">
        <f>IF($H$2="",NA(),IFERROR(INDEX(CSV!$B:$B,$H$2+59)*1,NA()))</f>
        <v/>
      </c>
      <c r="K60">
        <f>IF($H$2="",NA(),IFERROR(INDEX(CSV!$C:$C,$H$2+59)*1,NA()))</f>
        <v/>
      </c>
    </row>
    <row r="61">
      <c r="I61">
        <f>IF(ISNA(J61),NA(),59)</f>
        <v/>
      </c>
      <c r="J61">
        <f>IF($H$2="",NA(),IFERROR(INDEX(CSV!$B:$B,$H$2+60)*1,NA()))</f>
        <v/>
      </c>
      <c r="K61">
        <f>IF($H$2="",NA(),IFERROR(INDEX(CSV!$C:$C,$H$2+60)*1,NA()))</f>
        <v/>
      </c>
    </row>
    <row r="62">
      <c r="I62">
        <f>IF(ISNA(J62),NA(),60)</f>
        <v/>
      </c>
      <c r="J62">
        <f>IF($H$2="",NA(),IFERROR(INDEX(CSV!$B:$B,$H$2+61)*1,NA()))</f>
        <v/>
      </c>
      <c r="K62">
        <f>IF($H$2="",NA(),IFERROR(INDEX(CSV!$C:$C,$H$2+61)*1,NA()))</f>
        <v/>
      </c>
    </row>
    <row r="63">
      <c r="I63">
        <f>IF(ISNA(J63),NA(),61)</f>
        <v/>
      </c>
      <c r="J63">
        <f>IF($H$2="",NA(),IFERROR(INDEX(CSV!$B:$B,$H$2+62)*1,NA()))</f>
        <v/>
      </c>
      <c r="K63">
        <f>IF($H$2="",NA(),IFERROR(INDEX(CSV!$C:$C,$H$2+62)*1,NA()))</f>
        <v/>
      </c>
    </row>
    <row r="64">
      <c r="I64">
        <f>IF(ISNA(J64),NA(),62)</f>
        <v/>
      </c>
      <c r="J64">
        <f>IF($H$2="",NA(),IFERROR(INDEX(CSV!$B:$B,$H$2+63)*1,NA()))</f>
        <v/>
      </c>
      <c r="K64">
        <f>IF($H$2="",NA(),IFERROR(INDEX(CSV!$C:$C,$H$2+63)*1,NA()))</f>
        <v/>
      </c>
    </row>
    <row r="65">
      <c r="I65">
        <f>IF(ISNA(J65),NA(),63)</f>
        <v/>
      </c>
      <c r="J65">
        <f>IF($H$2="",NA(),IFERROR(INDEX(CSV!$B:$B,$H$2+64)*1,NA()))</f>
        <v/>
      </c>
      <c r="K65">
        <f>IF($H$2="",NA(),IFERROR(INDEX(CSV!$C:$C,$H$2+64)*1,NA()))</f>
        <v/>
      </c>
    </row>
    <row r="66">
      <c r="I66">
        <f>IF(ISNA(J66),NA(),64)</f>
        <v/>
      </c>
      <c r="J66">
        <f>IF($H$2="",NA(),IFERROR(INDEX(CSV!$B:$B,$H$2+65)*1,NA()))</f>
        <v/>
      </c>
      <c r="K66">
        <f>IF($H$2="",NA(),IFERROR(INDEX(CSV!$C:$C,$H$2+65)*1,NA()))</f>
        <v/>
      </c>
    </row>
    <row r="67">
      <c r="I67">
        <f>IF(ISNA(J67),NA(),65)</f>
        <v/>
      </c>
      <c r="J67">
        <f>IF($H$2="",NA(),IFERROR(INDEX(CSV!$B:$B,$H$2+66)*1,NA()))</f>
        <v/>
      </c>
      <c r="K67">
        <f>IF($H$2="",NA(),IFERROR(INDEX(CSV!$C:$C,$H$2+66)*1,NA()))</f>
        <v/>
      </c>
    </row>
    <row r="68">
      <c r="I68">
        <f>IF(ISNA(J68),NA(),66)</f>
        <v/>
      </c>
      <c r="J68">
        <f>IF($H$2="",NA(),IFERROR(INDEX(CSV!$B:$B,$H$2+67)*1,NA()))</f>
        <v/>
      </c>
      <c r="K68">
        <f>IF($H$2="",NA(),IFERROR(INDEX(CSV!$C:$C,$H$2+67)*1,NA()))</f>
        <v/>
      </c>
    </row>
    <row r="69">
      <c r="I69">
        <f>IF(ISNA(J69),NA(),67)</f>
        <v/>
      </c>
      <c r="J69">
        <f>IF($H$2="",NA(),IFERROR(INDEX(CSV!$B:$B,$H$2+68)*1,NA()))</f>
        <v/>
      </c>
      <c r="K69">
        <f>IF($H$2="",NA(),IFERROR(INDEX(CSV!$C:$C,$H$2+68)*1,NA()))</f>
        <v/>
      </c>
    </row>
    <row r="70">
      <c r="I70">
        <f>IF(ISNA(J70),NA(),68)</f>
        <v/>
      </c>
      <c r="J70">
        <f>IF($H$2="",NA(),IFERROR(INDEX(CSV!$B:$B,$H$2+69)*1,NA()))</f>
        <v/>
      </c>
      <c r="K70">
        <f>IF($H$2="",NA(),IFERROR(INDEX(CSV!$C:$C,$H$2+69)*1,NA()))</f>
        <v/>
      </c>
    </row>
    <row r="71">
      <c r="I71">
        <f>IF(ISNA(J71),NA(),69)</f>
        <v/>
      </c>
      <c r="J71">
        <f>IF($H$2="",NA(),IFERROR(INDEX(CSV!$B:$B,$H$2+70)*1,NA()))</f>
        <v/>
      </c>
      <c r="K71">
        <f>IF($H$2="",NA(),IFERROR(INDEX(CSV!$C:$C,$H$2+70)*1,NA()))</f>
        <v/>
      </c>
    </row>
    <row r="72">
      <c r="I72">
        <f>IF(ISNA(J72),NA(),70)</f>
        <v/>
      </c>
      <c r="J72">
        <f>IF($H$2="",NA(),IFERROR(INDEX(CSV!$B:$B,$H$2+71)*1,NA()))</f>
        <v/>
      </c>
      <c r="K72">
        <f>IF($H$2="",NA(),IFERROR(INDEX(CSV!$C:$C,$H$2+71)*1,NA()))</f>
        <v/>
      </c>
    </row>
    <row r="73">
      <c r="I73">
        <f>IF(ISNA(J73),NA(),71)</f>
        <v/>
      </c>
      <c r="J73">
        <f>IF($H$2="",NA(),IFERROR(INDEX(CSV!$B:$B,$H$2+72)*1,NA()))</f>
        <v/>
      </c>
      <c r="K73">
        <f>IF($H$2="",NA(),IFERROR(INDEX(CSV!$C:$C,$H$2+72)*1,NA()))</f>
        <v/>
      </c>
    </row>
    <row r="74">
      <c r="I74">
        <f>IF(ISNA(J74),NA(),72)</f>
        <v/>
      </c>
      <c r="J74">
        <f>IF($H$2="",NA(),IFERROR(INDEX(CSV!$B:$B,$H$2+73)*1,NA()))</f>
        <v/>
      </c>
      <c r="K74">
        <f>IF($H$2="",NA(),IFERROR(INDEX(CSV!$C:$C,$H$2+73)*1,NA()))</f>
        <v/>
      </c>
    </row>
    <row r="75">
      <c r="I75">
        <f>IF(ISNA(J75),NA(),73)</f>
        <v/>
      </c>
      <c r="J75">
        <f>IF($H$2="",NA(),IFERROR(INDEX(CSV!$B:$B,$H$2+74)*1,NA()))</f>
        <v/>
      </c>
      <c r="K75">
        <f>IF($H$2="",NA(),IFERROR(INDEX(CSV!$C:$C,$H$2+74)*1,NA()))</f>
        <v/>
      </c>
    </row>
    <row r="76">
      <c r="I76">
        <f>IF(ISNA(J76),NA(),74)</f>
        <v/>
      </c>
      <c r="J76">
        <f>IF($H$2="",NA(),IFERROR(INDEX(CSV!$B:$B,$H$2+75)*1,NA()))</f>
        <v/>
      </c>
      <c r="K76">
        <f>IF($H$2="",NA(),IFERROR(INDEX(CSV!$C:$C,$H$2+75)*1,NA()))</f>
        <v/>
      </c>
    </row>
    <row r="77">
      <c r="I77">
        <f>IF(ISNA(J77),NA(),75)</f>
        <v/>
      </c>
      <c r="J77">
        <f>IF($H$2="",NA(),IFERROR(INDEX(CSV!$B:$B,$H$2+76)*1,NA()))</f>
        <v/>
      </c>
      <c r="K77">
        <f>IF($H$2="",NA(),IFERROR(INDEX(CSV!$C:$C,$H$2+76)*1,NA()))</f>
        <v/>
      </c>
    </row>
    <row r="78">
      <c r="I78">
        <f>IF(ISNA(J78),NA(),76)</f>
        <v/>
      </c>
      <c r="J78">
        <f>IF($H$2="",NA(),IFERROR(INDEX(CSV!$B:$B,$H$2+77)*1,NA()))</f>
        <v/>
      </c>
      <c r="K78">
        <f>IF($H$2="",NA(),IFERROR(INDEX(CSV!$C:$C,$H$2+77)*1,NA()))</f>
        <v/>
      </c>
    </row>
    <row r="79">
      <c r="I79">
        <f>IF(ISNA(J79),NA(),77)</f>
        <v/>
      </c>
      <c r="J79">
        <f>IF($H$2="",NA(),IFERROR(INDEX(CSV!$B:$B,$H$2+78)*1,NA()))</f>
        <v/>
      </c>
      <c r="K79">
        <f>IF($H$2="",NA(),IFERROR(INDEX(CSV!$C:$C,$H$2+78)*1,NA()))</f>
        <v/>
      </c>
    </row>
    <row r="80">
      <c r="I80">
        <f>IF(ISNA(J80),NA(),78)</f>
        <v/>
      </c>
      <c r="J80">
        <f>IF($H$2="",NA(),IFERROR(INDEX(CSV!$B:$B,$H$2+79)*1,NA()))</f>
        <v/>
      </c>
      <c r="K80">
        <f>IF($H$2="",NA(),IFERROR(INDEX(CSV!$C:$C,$H$2+79)*1,NA()))</f>
        <v/>
      </c>
    </row>
    <row r="81">
      <c r="I81">
        <f>IF(ISNA(J81),NA(),79)</f>
        <v/>
      </c>
      <c r="J81">
        <f>IF($H$2="",NA(),IFERROR(INDEX(CSV!$B:$B,$H$2+80)*1,NA()))</f>
        <v/>
      </c>
      <c r="K81">
        <f>IF($H$2="",NA(),IFERROR(INDEX(CSV!$C:$C,$H$2+80)*1,NA()))</f>
        <v/>
      </c>
    </row>
    <row r="82">
      <c r="I82">
        <f>IF(ISNA(J82),NA(),80)</f>
        <v/>
      </c>
      <c r="J82">
        <f>IF($H$2="",NA(),IFERROR(INDEX(CSV!$B:$B,$H$2+81)*1,NA()))</f>
        <v/>
      </c>
      <c r="K82">
        <f>IF($H$2="",NA(),IFERROR(INDEX(CSV!$C:$C,$H$2+81)*1,NA()))</f>
        <v/>
      </c>
    </row>
    <row r="83">
      <c r="I83">
        <f>IF(ISNA(J83),NA(),81)</f>
        <v/>
      </c>
      <c r="J83">
        <f>IF($H$2="",NA(),IFERROR(INDEX(CSV!$B:$B,$H$2+82)*1,NA()))</f>
        <v/>
      </c>
      <c r="K83">
        <f>IF($H$2="",NA(),IFERROR(INDEX(CSV!$C:$C,$H$2+82)*1,NA()))</f>
        <v/>
      </c>
    </row>
    <row r="84">
      <c r="I84">
        <f>IF(ISNA(J84),NA(),82)</f>
        <v/>
      </c>
      <c r="J84">
        <f>IF($H$2="",NA(),IFERROR(INDEX(CSV!$B:$B,$H$2+83)*1,NA()))</f>
        <v/>
      </c>
      <c r="K84">
        <f>IF($H$2="",NA(),IFERROR(INDEX(CSV!$C:$C,$H$2+83)*1,NA()))</f>
        <v/>
      </c>
    </row>
    <row r="85">
      <c r="I85">
        <f>IF(ISNA(J85),NA(),83)</f>
        <v/>
      </c>
      <c r="J85">
        <f>IF($H$2="",NA(),IFERROR(INDEX(CSV!$B:$B,$H$2+84)*1,NA()))</f>
        <v/>
      </c>
      <c r="K85">
        <f>IF($H$2="",NA(),IFERROR(INDEX(CSV!$C:$C,$H$2+84)*1,NA()))</f>
        <v/>
      </c>
    </row>
    <row r="86">
      <c r="I86">
        <f>IF(ISNA(J86),NA(),84)</f>
        <v/>
      </c>
      <c r="J86">
        <f>IF($H$2="",NA(),IFERROR(INDEX(CSV!$B:$B,$H$2+85)*1,NA()))</f>
        <v/>
      </c>
      <c r="K86">
        <f>IF($H$2="",NA(),IFERROR(INDEX(CSV!$C:$C,$H$2+85)*1,NA()))</f>
        <v/>
      </c>
    </row>
    <row r="87">
      <c r="I87">
        <f>IF(ISNA(J87),NA(),85)</f>
        <v/>
      </c>
      <c r="J87">
        <f>IF($H$2="",NA(),IFERROR(INDEX(CSV!$B:$B,$H$2+86)*1,NA()))</f>
        <v/>
      </c>
      <c r="K87">
        <f>IF($H$2="",NA(),IFERROR(INDEX(CSV!$C:$C,$H$2+86)*1,NA()))</f>
        <v/>
      </c>
    </row>
    <row r="88">
      <c r="I88">
        <f>IF(ISNA(J88),NA(),86)</f>
        <v/>
      </c>
      <c r="J88">
        <f>IF($H$2="",NA(),IFERROR(INDEX(CSV!$B:$B,$H$2+87)*1,NA()))</f>
        <v/>
      </c>
      <c r="K88">
        <f>IF($H$2="",NA(),IFERROR(INDEX(CSV!$C:$C,$H$2+87)*1,NA()))</f>
        <v/>
      </c>
    </row>
    <row r="89">
      <c r="I89">
        <f>IF(ISNA(J89),NA(),87)</f>
        <v/>
      </c>
      <c r="J89">
        <f>IF($H$2="",NA(),IFERROR(INDEX(CSV!$B:$B,$H$2+88)*1,NA()))</f>
        <v/>
      </c>
      <c r="K89">
        <f>IF($H$2="",NA(),IFERROR(INDEX(CSV!$C:$C,$H$2+88)*1,NA()))</f>
        <v/>
      </c>
    </row>
    <row r="90">
      <c r="I90">
        <f>IF(ISNA(J90),NA(),88)</f>
        <v/>
      </c>
      <c r="J90">
        <f>IF($H$2="",NA(),IFERROR(INDEX(CSV!$B:$B,$H$2+89)*1,NA()))</f>
        <v/>
      </c>
      <c r="K90">
        <f>IF($H$2="",NA(),IFERROR(INDEX(CSV!$C:$C,$H$2+89)*1,NA()))</f>
        <v/>
      </c>
    </row>
    <row r="91">
      <c r="I91">
        <f>IF(ISNA(J91),NA(),89)</f>
        <v/>
      </c>
      <c r="J91">
        <f>IF($H$2="",NA(),IFERROR(INDEX(CSV!$B:$B,$H$2+90)*1,NA()))</f>
        <v/>
      </c>
      <c r="K91">
        <f>IF($H$2="",NA(),IFERROR(INDEX(CSV!$C:$C,$H$2+90)*1,NA()))</f>
        <v/>
      </c>
    </row>
    <row r="92">
      <c r="I92">
        <f>IF(ISNA(J92),NA(),90)</f>
        <v/>
      </c>
      <c r="J92">
        <f>IF($H$2="",NA(),IFERROR(INDEX(CSV!$B:$B,$H$2+91)*1,NA()))</f>
        <v/>
      </c>
      <c r="K92">
        <f>IF($H$2="",NA(),IFERROR(INDEX(CSV!$C:$C,$H$2+91)*1,NA()))</f>
        <v/>
      </c>
    </row>
    <row r="93">
      <c r="I93">
        <f>IF(ISNA(J93),NA(),91)</f>
        <v/>
      </c>
      <c r="J93">
        <f>IF($H$2="",NA(),IFERROR(INDEX(CSV!$B:$B,$H$2+92)*1,NA()))</f>
        <v/>
      </c>
      <c r="K93">
        <f>IF($H$2="",NA(),IFERROR(INDEX(CSV!$C:$C,$H$2+92)*1,NA()))</f>
        <v/>
      </c>
    </row>
    <row r="94">
      <c r="I94">
        <f>IF(ISNA(J94),NA(),92)</f>
        <v/>
      </c>
      <c r="J94">
        <f>IF($H$2="",NA(),IFERROR(INDEX(CSV!$B:$B,$H$2+93)*1,NA()))</f>
        <v/>
      </c>
      <c r="K94">
        <f>IF($H$2="",NA(),IFERROR(INDEX(CSV!$C:$C,$H$2+93)*1,NA()))</f>
        <v/>
      </c>
    </row>
    <row r="95">
      <c r="I95">
        <f>IF(ISNA(J95),NA(),93)</f>
        <v/>
      </c>
      <c r="J95">
        <f>IF($H$2="",NA(),IFERROR(INDEX(CSV!$B:$B,$H$2+94)*1,NA()))</f>
        <v/>
      </c>
      <c r="K95">
        <f>IF($H$2="",NA(),IFERROR(INDEX(CSV!$C:$C,$H$2+94)*1,NA()))</f>
        <v/>
      </c>
    </row>
    <row r="96">
      <c r="I96">
        <f>IF(ISNA(J96),NA(),94)</f>
        <v/>
      </c>
      <c r="J96">
        <f>IF($H$2="",NA(),IFERROR(INDEX(CSV!$B:$B,$H$2+95)*1,NA()))</f>
        <v/>
      </c>
      <c r="K96">
        <f>IF($H$2="",NA(),IFERROR(INDEX(CSV!$C:$C,$H$2+95)*1,NA()))</f>
        <v/>
      </c>
    </row>
    <row r="97">
      <c r="I97">
        <f>IF(ISNA(J97),NA(),95)</f>
        <v/>
      </c>
      <c r="J97">
        <f>IF($H$2="",NA(),IFERROR(INDEX(CSV!$B:$B,$H$2+96)*1,NA()))</f>
        <v/>
      </c>
      <c r="K97">
        <f>IF($H$2="",NA(),IFERROR(INDEX(CSV!$C:$C,$H$2+96)*1,NA()))</f>
        <v/>
      </c>
    </row>
    <row r="98">
      <c r="I98">
        <f>IF(ISNA(J98),NA(),96)</f>
        <v/>
      </c>
      <c r="J98">
        <f>IF($H$2="",NA(),IFERROR(INDEX(CSV!$B:$B,$H$2+97)*1,NA()))</f>
        <v/>
      </c>
      <c r="K98">
        <f>IF($H$2="",NA(),IFERROR(INDEX(CSV!$C:$C,$H$2+97)*1,NA()))</f>
        <v/>
      </c>
    </row>
    <row r="99">
      <c r="I99">
        <f>IF(ISNA(J99),NA(),97)</f>
        <v/>
      </c>
      <c r="J99">
        <f>IF($H$2="",NA(),IFERROR(INDEX(CSV!$B:$B,$H$2+98)*1,NA()))</f>
        <v/>
      </c>
      <c r="K99">
        <f>IF($H$2="",NA(),IFERROR(INDEX(CSV!$C:$C,$H$2+98)*1,NA()))</f>
        <v/>
      </c>
    </row>
    <row r="100">
      <c r="I100">
        <f>IF(ISNA(J100),NA(),98)</f>
        <v/>
      </c>
      <c r="J100">
        <f>IF($H$2="",NA(),IFERROR(INDEX(CSV!$B:$B,$H$2+99)*1,NA()))</f>
        <v/>
      </c>
      <c r="K100">
        <f>IF($H$2="",NA(),IFERROR(INDEX(CSV!$C:$C,$H$2+99)*1,NA()))</f>
        <v/>
      </c>
    </row>
    <row r="101">
      <c r="I101">
        <f>IF(ISNA(J101),NA(),99)</f>
        <v/>
      </c>
      <c r="J101">
        <f>IF($H$2="",NA(),IFERROR(INDEX(CSV!$B:$B,$H$2+100)*1,NA()))</f>
        <v/>
      </c>
      <c r="K101">
        <f>IF($H$2="",NA(),IFERROR(INDEX(CSV!$C:$C,$H$2+100)*1,NA()))</f>
        <v/>
      </c>
    </row>
    <row r="102">
      <c r="I102">
        <f>IF(ISNA(J102),NA(),100)</f>
        <v/>
      </c>
      <c r="J102">
        <f>IF($H$2="",NA(),IFERROR(INDEX(CSV!$B:$B,$H$2+101)*1,NA()))</f>
        <v/>
      </c>
      <c r="K102">
        <f>IF($H$2="",NA(),IFERROR(INDEX(CSV!$C:$C,$H$2+101)*1,NA()))</f>
        <v/>
      </c>
    </row>
    <row r="103">
      <c r="I103">
        <f>IF(ISNA(J103),NA(),101)</f>
        <v/>
      </c>
      <c r="J103">
        <f>IF($H$2="",NA(),IFERROR(INDEX(CSV!$B:$B,$H$2+102)*1,NA()))</f>
        <v/>
      </c>
      <c r="K103">
        <f>IF($H$2="",NA(),IFERROR(INDEX(CSV!$C:$C,$H$2+102)*1,NA()))</f>
        <v/>
      </c>
    </row>
    <row r="104">
      <c r="I104">
        <f>IF(ISNA(J104),NA(),102)</f>
        <v/>
      </c>
      <c r="J104">
        <f>IF($H$2="",NA(),IFERROR(INDEX(CSV!$B:$B,$H$2+103)*1,NA()))</f>
        <v/>
      </c>
      <c r="K104">
        <f>IF($H$2="",NA(),IFERROR(INDEX(CSV!$C:$C,$H$2+103)*1,NA()))</f>
        <v/>
      </c>
    </row>
    <row r="105">
      <c r="I105">
        <f>IF(ISNA(J105),NA(),103)</f>
        <v/>
      </c>
      <c r="J105">
        <f>IF($H$2="",NA(),IFERROR(INDEX(CSV!$B:$B,$H$2+104)*1,NA()))</f>
        <v/>
      </c>
      <c r="K105">
        <f>IF($H$2="",NA(),IFERROR(INDEX(CSV!$C:$C,$H$2+104)*1,NA()))</f>
        <v/>
      </c>
    </row>
    <row r="106">
      <c r="I106">
        <f>IF(ISNA(J106),NA(),104)</f>
        <v/>
      </c>
      <c r="J106">
        <f>IF($H$2="",NA(),IFERROR(INDEX(CSV!$B:$B,$H$2+105)*1,NA()))</f>
        <v/>
      </c>
      <c r="K106">
        <f>IF($H$2="",NA(),IFERROR(INDEX(CSV!$C:$C,$H$2+105)*1,NA()))</f>
        <v/>
      </c>
    </row>
    <row r="107">
      <c r="I107">
        <f>IF(ISNA(J107),NA(),105)</f>
        <v/>
      </c>
      <c r="J107">
        <f>IF($H$2="",NA(),IFERROR(INDEX(CSV!$B:$B,$H$2+106)*1,NA()))</f>
        <v/>
      </c>
      <c r="K107">
        <f>IF($H$2="",NA(),IFERROR(INDEX(CSV!$C:$C,$H$2+106)*1,NA()))</f>
        <v/>
      </c>
    </row>
    <row r="108">
      <c r="I108">
        <f>IF(ISNA(J108),NA(),106)</f>
        <v/>
      </c>
      <c r="J108">
        <f>IF($H$2="",NA(),IFERROR(INDEX(CSV!$B:$B,$H$2+107)*1,NA()))</f>
        <v/>
      </c>
      <c r="K108">
        <f>IF($H$2="",NA(),IFERROR(INDEX(CSV!$C:$C,$H$2+107)*1,NA()))</f>
        <v/>
      </c>
    </row>
    <row r="109">
      <c r="I109">
        <f>IF(ISNA(J109),NA(),107)</f>
        <v/>
      </c>
      <c r="J109">
        <f>IF($H$2="",NA(),IFERROR(INDEX(CSV!$B:$B,$H$2+108)*1,NA()))</f>
        <v/>
      </c>
      <c r="K109">
        <f>IF($H$2="",NA(),IFERROR(INDEX(CSV!$C:$C,$H$2+108)*1,NA()))</f>
        <v/>
      </c>
    </row>
    <row r="110">
      <c r="I110">
        <f>IF(ISNA(J110),NA(),108)</f>
        <v/>
      </c>
      <c r="J110">
        <f>IF($H$2="",NA(),IFERROR(INDEX(CSV!$B:$B,$H$2+109)*1,NA()))</f>
        <v/>
      </c>
      <c r="K110">
        <f>IF($H$2="",NA(),IFERROR(INDEX(CSV!$C:$C,$H$2+109)*1,NA()))</f>
        <v/>
      </c>
    </row>
    <row r="111">
      <c r="I111">
        <f>IF(ISNA(J111),NA(),109)</f>
        <v/>
      </c>
      <c r="J111">
        <f>IF($H$2="",NA(),IFERROR(INDEX(CSV!$B:$B,$H$2+110)*1,NA()))</f>
        <v/>
      </c>
      <c r="K111">
        <f>IF($H$2="",NA(),IFERROR(INDEX(CSV!$C:$C,$H$2+110)*1,NA()))</f>
        <v/>
      </c>
    </row>
    <row r="112">
      <c r="I112">
        <f>IF(ISNA(J112),NA(),110)</f>
        <v/>
      </c>
      <c r="J112">
        <f>IF($H$2="",NA(),IFERROR(INDEX(CSV!$B:$B,$H$2+111)*1,NA()))</f>
        <v/>
      </c>
      <c r="K112">
        <f>IF($H$2="",NA(),IFERROR(INDEX(CSV!$C:$C,$H$2+111)*1,NA()))</f>
        <v/>
      </c>
    </row>
    <row r="113">
      <c r="I113">
        <f>IF(ISNA(J113),NA(),111)</f>
        <v/>
      </c>
      <c r="J113">
        <f>IF($H$2="",NA(),IFERROR(INDEX(CSV!$B:$B,$H$2+112)*1,NA()))</f>
        <v/>
      </c>
      <c r="K113">
        <f>IF($H$2="",NA(),IFERROR(INDEX(CSV!$C:$C,$H$2+112)*1,NA()))</f>
        <v/>
      </c>
    </row>
    <row r="114">
      <c r="I114">
        <f>IF(ISNA(J114),NA(),112)</f>
        <v/>
      </c>
      <c r="J114">
        <f>IF($H$2="",NA(),IFERROR(INDEX(CSV!$B:$B,$H$2+113)*1,NA()))</f>
        <v/>
      </c>
      <c r="K114">
        <f>IF($H$2="",NA(),IFERROR(INDEX(CSV!$C:$C,$H$2+113)*1,NA()))</f>
        <v/>
      </c>
    </row>
    <row r="115">
      <c r="I115">
        <f>IF(ISNA(J115),NA(),113)</f>
        <v/>
      </c>
      <c r="J115">
        <f>IF($H$2="",NA(),IFERROR(INDEX(CSV!$B:$B,$H$2+114)*1,NA()))</f>
        <v/>
      </c>
      <c r="K115">
        <f>IF($H$2="",NA(),IFERROR(INDEX(CSV!$C:$C,$H$2+114)*1,NA()))</f>
        <v/>
      </c>
    </row>
    <row r="116">
      <c r="I116">
        <f>IF(ISNA(J116),NA(),114)</f>
        <v/>
      </c>
      <c r="J116">
        <f>IF($H$2="",NA(),IFERROR(INDEX(CSV!$B:$B,$H$2+115)*1,NA()))</f>
        <v/>
      </c>
      <c r="K116">
        <f>IF($H$2="",NA(),IFERROR(INDEX(CSV!$C:$C,$H$2+115)*1,NA()))</f>
        <v/>
      </c>
    </row>
    <row r="117">
      <c r="I117">
        <f>IF(ISNA(J117),NA(),115)</f>
        <v/>
      </c>
      <c r="J117">
        <f>IF($H$2="",NA(),IFERROR(INDEX(CSV!$B:$B,$H$2+116)*1,NA()))</f>
        <v/>
      </c>
      <c r="K117">
        <f>IF($H$2="",NA(),IFERROR(INDEX(CSV!$C:$C,$H$2+116)*1,NA()))</f>
        <v/>
      </c>
    </row>
    <row r="118">
      <c r="I118">
        <f>IF(ISNA(J118),NA(),116)</f>
        <v/>
      </c>
      <c r="J118">
        <f>IF($H$2="",NA(),IFERROR(INDEX(CSV!$B:$B,$H$2+117)*1,NA()))</f>
        <v/>
      </c>
      <c r="K118">
        <f>IF($H$2="",NA(),IFERROR(INDEX(CSV!$C:$C,$H$2+117)*1,NA()))</f>
        <v/>
      </c>
    </row>
    <row r="119">
      <c r="I119">
        <f>IF(ISNA(J119),NA(),117)</f>
        <v/>
      </c>
      <c r="J119">
        <f>IF($H$2="",NA(),IFERROR(INDEX(CSV!$B:$B,$H$2+118)*1,NA()))</f>
        <v/>
      </c>
      <c r="K119">
        <f>IF($H$2="",NA(),IFERROR(INDEX(CSV!$C:$C,$H$2+118)*1,NA()))</f>
        <v/>
      </c>
    </row>
    <row r="120">
      <c r="I120">
        <f>IF(ISNA(J120),NA(),118)</f>
        <v/>
      </c>
      <c r="J120">
        <f>IF($H$2="",NA(),IFERROR(INDEX(CSV!$B:$B,$H$2+119)*1,NA()))</f>
        <v/>
      </c>
      <c r="K120">
        <f>IF($H$2="",NA(),IFERROR(INDEX(CSV!$C:$C,$H$2+119)*1,NA()))</f>
        <v/>
      </c>
    </row>
    <row r="121">
      <c r="I121">
        <f>IF(ISNA(J121),NA(),119)</f>
        <v/>
      </c>
      <c r="J121">
        <f>IF($H$2="",NA(),IFERROR(INDEX(CSV!$B:$B,$H$2+120)*1,NA()))</f>
        <v/>
      </c>
      <c r="K121">
        <f>IF($H$2="",NA(),IFERROR(INDEX(CSV!$C:$C,$H$2+120)*1,NA()))</f>
        <v/>
      </c>
    </row>
    <row r="122">
      <c r="I122">
        <f>IF(ISNA(J122),NA(),120)</f>
        <v/>
      </c>
      <c r="J122">
        <f>IF($H$2="",NA(),IFERROR(INDEX(CSV!$B:$B,$H$2+121)*1,NA()))</f>
        <v/>
      </c>
      <c r="K122">
        <f>IF($H$2="",NA(),IFERROR(INDEX(CSV!$C:$C,$H$2+121)*1,NA()))</f>
        <v/>
      </c>
    </row>
    <row r="123">
      <c r="I123">
        <f>IF(ISNA(J123),NA(),121)</f>
        <v/>
      </c>
      <c r="J123">
        <f>IF($H$2="",NA(),IFERROR(INDEX(CSV!$B:$B,$H$2+122)*1,NA()))</f>
        <v/>
      </c>
      <c r="K123">
        <f>IF($H$2="",NA(),IFERROR(INDEX(CSV!$C:$C,$H$2+122)*1,NA()))</f>
        <v/>
      </c>
    </row>
    <row r="124">
      <c r="I124">
        <f>IF(ISNA(J124),NA(),122)</f>
        <v/>
      </c>
      <c r="J124">
        <f>IF($H$2="",NA(),IFERROR(INDEX(CSV!$B:$B,$H$2+123)*1,NA()))</f>
        <v/>
      </c>
      <c r="K124">
        <f>IF($H$2="",NA(),IFERROR(INDEX(CSV!$C:$C,$H$2+123)*1,NA()))</f>
        <v/>
      </c>
    </row>
    <row r="125">
      <c r="I125">
        <f>IF(ISNA(J125),NA(),123)</f>
        <v/>
      </c>
      <c r="J125">
        <f>IF($H$2="",NA(),IFERROR(INDEX(CSV!$B:$B,$H$2+124)*1,NA()))</f>
        <v/>
      </c>
      <c r="K125">
        <f>IF($H$2="",NA(),IFERROR(INDEX(CSV!$C:$C,$H$2+124)*1,NA()))</f>
        <v/>
      </c>
    </row>
    <row r="126">
      <c r="I126">
        <f>IF(ISNA(J126),NA(),124)</f>
        <v/>
      </c>
      <c r="J126">
        <f>IF($H$2="",NA(),IFERROR(INDEX(CSV!$B:$B,$H$2+125)*1,NA()))</f>
        <v/>
      </c>
      <c r="K126">
        <f>IF($H$2="",NA(),IFERROR(INDEX(CSV!$C:$C,$H$2+125)*1,NA()))</f>
        <v/>
      </c>
    </row>
    <row r="127">
      <c r="I127">
        <f>IF(ISNA(J127),NA(),125)</f>
        <v/>
      </c>
      <c r="J127">
        <f>IF($H$2="",NA(),IFERROR(INDEX(CSV!$B:$B,$H$2+126)*1,NA()))</f>
        <v/>
      </c>
      <c r="K127">
        <f>IF($H$2="",NA(),IFERROR(INDEX(CSV!$C:$C,$H$2+126)*1,NA()))</f>
        <v/>
      </c>
    </row>
    <row r="128">
      <c r="I128">
        <f>IF(ISNA(J128),NA(),126)</f>
        <v/>
      </c>
      <c r="J128">
        <f>IF($H$2="",NA(),IFERROR(INDEX(CSV!$B:$B,$H$2+127)*1,NA()))</f>
        <v/>
      </c>
      <c r="K128">
        <f>IF($H$2="",NA(),IFERROR(INDEX(CSV!$C:$C,$H$2+127)*1,NA()))</f>
        <v/>
      </c>
    </row>
    <row r="129">
      <c r="I129">
        <f>IF(ISNA(J129),NA(),127)</f>
        <v/>
      </c>
      <c r="J129">
        <f>IF($H$2="",NA(),IFERROR(INDEX(CSV!$B:$B,$H$2+128)*1,NA()))</f>
        <v/>
      </c>
      <c r="K129">
        <f>IF($H$2="",NA(),IFERROR(INDEX(CSV!$C:$C,$H$2+128)*1,NA()))</f>
        <v/>
      </c>
    </row>
    <row r="130">
      <c r="I130">
        <f>IF(ISNA(J130),NA(),128)</f>
        <v/>
      </c>
      <c r="J130">
        <f>IF($H$2="",NA(),IFERROR(INDEX(CSV!$B:$B,$H$2+129)*1,NA()))</f>
        <v/>
      </c>
      <c r="K130">
        <f>IF($H$2="",NA(),IFERROR(INDEX(CSV!$C:$C,$H$2+129)*1,NA()))</f>
        <v/>
      </c>
    </row>
    <row r="131">
      <c r="I131">
        <f>IF(ISNA(J131),NA(),129)</f>
        <v/>
      </c>
      <c r="J131">
        <f>IF($H$2="",NA(),IFERROR(INDEX(CSV!$B:$B,$H$2+130)*1,NA()))</f>
        <v/>
      </c>
      <c r="K131">
        <f>IF($H$2="",NA(),IFERROR(INDEX(CSV!$C:$C,$H$2+130)*1,NA()))</f>
        <v/>
      </c>
    </row>
    <row r="132">
      <c r="I132">
        <f>IF(ISNA(J132),NA(),130)</f>
        <v/>
      </c>
      <c r="J132">
        <f>IF($H$2="",NA(),IFERROR(INDEX(CSV!$B:$B,$H$2+131)*1,NA()))</f>
        <v/>
      </c>
      <c r="K132">
        <f>IF($H$2="",NA(),IFERROR(INDEX(CSV!$C:$C,$H$2+131)*1,NA()))</f>
        <v/>
      </c>
    </row>
    <row r="133">
      <c r="I133">
        <f>IF(ISNA(J133),NA(),131)</f>
        <v/>
      </c>
      <c r="J133">
        <f>IF($H$2="",NA(),IFERROR(INDEX(CSV!$B:$B,$H$2+132)*1,NA()))</f>
        <v/>
      </c>
      <c r="K133">
        <f>IF($H$2="",NA(),IFERROR(INDEX(CSV!$C:$C,$H$2+132)*1,NA()))</f>
        <v/>
      </c>
    </row>
    <row r="134">
      <c r="I134">
        <f>IF(ISNA(J134),NA(),132)</f>
        <v/>
      </c>
      <c r="J134">
        <f>IF($H$2="",NA(),IFERROR(INDEX(CSV!$B:$B,$H$2+133)*1,NA()))</f>
        <v/>
      </c>
      <c r="K134">
        <f>IF($H$2="",NA(),IFERROR(INDEX(CSV!$C:$C,$H$2+133)*1,NA()))</f>
        <v/>
      </c>
    </row>
    <row r="135">
      <c r="I135">
        <f>IF(ISNA(J135),NA(),133)</f>
        <v/>
      </c>
      <c r="J135">
        <f>IF($H$2="",NA(),IFERROR(INDEX(CSV!$B:$B,$H$2+134)*1,NA()))</f>
        <v/>
      </c>
      <c r="K135">
        <f>IF($H$2="",NA(),IFERROR(INDEX(CSV!$C:$C,$H$2+134)*1,NA()))</f>
        <v/>
      </c>
    </row>
    <row r="136">
      <c r="I136">
        <f>IF(ISNA(J136),NA(),134)</f>
        <v/>
      </c>
      <c r="J136">
        <f>IF($H$2="",NA(),IFERROR(INDEX(CSV!$B:$B,$H$2+135)*1,NA()))</f>
        <v/>
      </c>
      <c r="K136">
        <f>IF($H$2="",NA(),IFERROR(INDEX(CSV!$C:$C,$H$2+135)*1,NA()))</f>
        <v/>
      </c>
    </row>
    <row r="137">
      <c r="I137">
        <f>IF(ISNA(J137),NA(),135)</f>
        <v/>
      </c>
      <c r="J137">
        <f>IF($H$2="",NA(),IFERROR(INDEX(CSV!$B:$B,$H$2+136)*1,NA()))</f>
        <v/>
      </c>
      <c r="K137">
        <f>IF($H$2="",NA(),IFERROR(INDEX(CSV!$C:$C,$H$2+136)*1,NA()))</f>
        <v/>
      </c>
    </row>
    <row r="138">
      <c r="I138">
        <f>IF(ISNA(J138),NA(),136)</f>
        <v/>
      </c>
      <c r="J138">
        <f>IF($H$2="",NA(),IFERROR(INDEX(CSV!$B:$B,$H$2+137)*1,NA()))</f>
        <v/>
      </c>
      <c r="K138">
        <f>IF($H$2="",NA(),IFERROR(INDEX(CSV!$C:$C,$H$2+137)*1,NA()))</f>
        <v/>
      </c>
    </row>
    <row r="139">
      <c r="I139">
        <f>IF(ISNA(J139),NA(),137)</f>
        <v/>
      </c>
      <c r="J139">
        <f>IF($H$2="",NA(),IFERROR(INDEX(CSV!$B:$B,$H$2+138)*1,NA()))</f>
        <v/>
      </c>
      <c r="K139">
        <f>IF($H$2="",NA(),IFERROR(INDEX(CSV!$C:$C,$H$2+138)*1,NA()))</f>
        <v/>
      </c>
    </row>
    <row r="140">
      <c r="I140">
        <f>IF(ISNA(J140),NA(),138)</f>
        <v/>
      </c>
      <c r="J140">
        <f>IF($H$2="",NA(),IFERROR(INDEX(CSV!$B:$B,$H$2+139)*1,NA()))</f>
        <v/>
      </c>
      <c r="K140">
        <f>IF($H$2="",NA(),IFERROR(INDEX(CSV!$C:$C,$H$2+139)*1,NA()))</f>
        <v/>
      </c>
    </row>
    <row r="141">
      <c r="I141">
        <f>IF(ISNA(J141),NA(),139)</f>
        <v/>
      </c>
      <c r="J141">
        <f>IF($H$2="",NA(),IFERROR(INDEX(CSV!$B:$B,$H$2+140)*1,NA()))</f>
        <v/>
      </c>
      <c r="K141">
        <f>IF($H$2="",NA(),IFERROR(INDEX(CSV!$C:$C,$H$2+140)*1,NA()))</f>
        <v/>
      </c>
    </row>
    <row r="142">
      <c r="I142">
        <f>IF(ISNA(J142),NA(),140)</f>
        <v/>
      </c>
      <c r="J142">
        <f>IF($H$2="",NA(),IFERROR(INDEX(CSV!$B:$B,$H$2+141)*1,NA()))</f>
        <v/>
      </c>
      <c r="K142">
        <f>IF($H$2="",NA(),IFERROR(INDEX(CSV!$C:$C,$H$2+141)*1,NA()))</f>
        <v/>
      </c>
    </row>
    <row r="143">
      <c r="I143">
        <f>IF(ISNA(J143),NA(),141)</f>
        <v/>
      </c>
      <c r="J143">
        <f>IF($H$2="",NA(),IFERROR(INDEX(CSV!$B:$B,$H$2+142)*1,NA()))</f>
        <v/>
      </c>
      <c r="K143">
        <f>IF($H$2="",NA(),IFERROR(INDEX(CSV!$C:$C,$H$2+142)*1,NA()))</f>
        <v/>
      </c>
    </row>
    <row r="144">
      <c r="I144">
        <f>IF(ISNA(J144),NA(),142)</f>
        <v/>
      </c>
      <c r="J144">
        <f>IF($H$2="",NA(),IFERROR(INDEX(CSV!$B:$B,$H$2+143)*1,NA()))</f>
        <v/>
      </c>
      <c r="K144">
        <f>IF($H$2="",NA(),IFERROR(INDEX(CSV!$C:$C,$H$2+143)*1,NA()))</f>
        <v/>
      </c>
    </row>
    <row r="145">
      <c r="I145">
        <f>IF(ISNA(J145),NA(),143)</f>
        <v/>
      </c>
      <c r="J145">
        <f>IF($H$2="",NA(),IFERROR(INDEX(CSV!$B:$B,$H$2+144)*1,NA()))</f>
        <v/>
      </c>
      <c r="K145">
        <f>IF($H$2="",NA(),IFERROR(INDEX(CSV!$C:$C,$H$2+144)*1,NA()))</f>
        <v/>
      </c>
    </row>
    <row r="146">
      <c r="I146">
        <f>IF(ISNA(J146),NA(),144)</f>
        <v/>
      </c>
      <c r="J146">
        <f>IF($H$2="",NA(),IFERROR(INDEX(CSV!$B:$B,$H$2+145)*1,NA()))</f>
        <v/>
      </c>
      <c r="K146">
        <f>IF($H$2="",NA(),IFERROR(INDEX(CSV!$C:$C,$H$2+145)*1,NA()))</f>
        <v/>
      </c>
    </row>
    <row r="147">
      <c r="I147">
        <f>IF(ISNA(J147),NA(),145)</f>
        <v/>
      </c>
      <c r="J147">
        <f>IF($H$2="",NA(),IFERROR(INDEX(CSV!$B:$B,$H$2+146)*1,NA()))</f>
        <v/>
      </c>
      <c r="K147">
        <f>IF($H$2="",NA(),IFERROR(INDEX(CSV!$C:$C,$H$2+146)*1,NA()))</f>
        <v/>
      </c>
    </row>
    <row r="148">
      <c r="I148">
        <f>IF(ISNA(J148),NA(),146)</f>
        <v/>
      </c>
      <c r="J148">
        <f>IF($H$2="",NA(),IFERROR(INDEX(CSV!$B:$B,$H$2+147)*1,NA()))</f>
        <v/>
      </c>
      <c r="K148">
        <f>IF($H$2="",NA(),IFERROR(INDEX(CSV!$C:$C,$H$2+147)*1,NA()))</f>
        <v/>
      </c>
    </row>
    <row r="149">
      <c r="I149">
        <f>IF(ISNA(J149),NA(),147)</f>
        <v/>
      </c>
      <c r="J149">
        <f>IF($H$2="",NA(),IFERROR(INDEX(CSV!$B:$B,$H$2+148)*1,NA()))</f>
        <v/>
      </c>
      <c r="K149">
        <f>IF($H$2="",NA(),IFERROR(INDEX(CSV!$C:$C,$H$2+148)*1,NA()))</f>
        <v/>
      </c>
    </row>
    <row r="150">
      <c r="I150">
        <f>IF(ISNA(J150),NA(),148)</f>
        <v/>
      </c>
      <c r="J150">
        <f>IF($H$2="",NA(),IFERROR(INDEX(CSV!$B:$B,$H$2+149)*1,NA()))</f>
        <v/>
      </c>
      <c r="K150">
        <f>IF($H$2="",NA(),IFERROR(INDEX(CSV!$C:$C,$H$2+149)*1,NA()))</f>
        <v/>
      </c>
    </row>
    <row r="151">
      <c r="I151">
        <f>IF(ISNA(J151),NA(),149)</f>
        <v/>
      </c>
      <c r="J151">
        <f>IF($H$2="",NA(),IFERROR(INDEX(CSV!$B:$B,$H$2+150)*1,NA()))</f>
        <v/>
      </c>
      <c r="K151">
        <f>IF($H$2="",NA(),IFERROR(INDEX(CSV!$C:$C,$H$2+150)*1,NA()))</f>
        <v/>
      </c>
    </row>
    <row r="152">
      <c r="I152">
        <f>IF(ISNA(J152),NA(),150)</f>
        <v/>
      </c>
      <c r="J152">
        <f>IF($H$2="",NA(),IFERROR(INDEX(CSV!$B:$B,$H$2+151)*1,NA()))</f>
        <v/>
      </c>
      <c r="K152">
        <f>IF($H$2="",NA(),IFERROR(INDEX(CSV!$C:$C,$H$2+151)*1,NA()))</f>
        <v/>
      </c>
    </row>
    <row r="153">
      <c r="I153">
        <f>IF(ISNA(J153),NA(),151)</f>
        <v/>
      </c>
      <c r="J153">
        <f>IF($H$2="",NA(),IFERROR(INDEX(CSV!$B:$B,$H$2+152)*1,NA()))</f>
        <v/>
      </c>
      <c r="K153">
        <f>IF($H$2="",NA(),IFERROR(INDEX(CSV!$C:$C,$H$2+152)*1,NA()))</f>
        <v/>
      </c>
    </row>
    <row r="154">
      <c r="I154">
        <f>IF(ISNA(J154),NA(),152)</f>
        <v/>
      </c>
      <c r="J154">
        <f>IF($H$2="",NA(),IFERROR(INDEX(CSV!$B:$B,$H$2+153)*1,NA()))</f>
        <v/>
      </c>
      <c r="K154">
        <f>IF($H$2="",NA(),IFERROR(INDEX(CSV!$C:$C,$H$2+153)*1,NA()))</f>
        <v/>
      </c>
    </row>
    <row r="155">
      <c r="I155">
        <f>IF(ISNA(J155),NA(),153)</f>
        <v/>
      </c>
      <c r="J155">
        <f>IF($H$2="",NA(),IFERROR(INDEX(CSV!$B:$B,$H$2+154)*1,NA()))</f>
        <v/>
      </c>
      <c r="K155">
        <f>IF($H$2="",NA(),IFERROR(INDEX(CSV!$C:$C,$H$2+154)*1,NA()))</f>
        <v/>
      </c>
    </row>
    <row r="156">
      <c r="I156">
        <f>IF(ISNA(J156),NA(),154)</f>
        <v/>
      </c>
      <c r="J156">
        <f>IF($H$2="",NA(),IFERROR(INDEX(CSV!$B:$B,$H$2+155)*1,NA()))</f>
        <v/>
      </c>
      <c r="K156">
        <f>IF($H$2="",NA(),IFERROR(INDEX(CSV!$C:$C,$H$2+155)*1,NA()))</f>
        <v/>
      </c>
    </row>
    <row r="157">
      <c r="I157">
        <f>IF(ISNA(J157),NA(),155)</f>
        <v/>
      </c>
      <c r="J157">
        <f>IF($H$2="",NA(),IFERROR(INDEX(CSV!$B:$B,$H$2+156)*1,NA()))</f>
        <v/>
      </c>
      <c r="K157">
        <f>IF($H$2="",NA(),IFERROR(INDEX(CSV!$C:$C,$H$2+156)*1,NA()))</f>
        <v/>
      </c>
    </row>
    <row r="158">
      <c r="I158">
        <f>IF(ISNA(J158),NA(),156)</f>
        <v/>
      </c>
      <c r="J158">
        <f>IF($H$2="",NA(),IFERROR(INDEX(CSV!$B:$B,$H$2+157)*1,NA()))</f>
        <v/>
      </c>
      <c r="K158">
        <f>IF($H$2="",NA(),IFERROR(INDEX(CSV!$C:$C,$H$2+157)*1,NA()))</f>
        <v/>
      </c>
    </row>
    <row r="159">
      <c r="I159">
        <f>IF(ISNA(J159),NA(),157)</f>
        <v/>
      </c>
      <c r="J159">
        <f>IF($H$2="",NA(),IFERROR(INDEX(CSV!$B:$B,$H$2+158)*1,NA()))</f>
        <v/>
      </c>
      <c r="K159">
        <f>IF($H$2="",NA(),IFERROR(INDEX(CSV!$C:$C,$H$2+158)*1,NA()))</f>
        <v/>
      </c>
    </row>
    <row r="160">
      <c r="I160">
        <f>IF(ISNA(J160),NA(),158)</f>
        <v/>
      </c>
      <c r="J160">
        <f>IF($H$2="",NA(),IFERROR(INDEX(CSV!$B:$B,$H$2+159)*1,NA()))</f>
        <v/>
      </c>
      <c r="K160">
        <f>IF($H$2="",NA(),IFERROR(INDEX(CSV!$C:$C,$H$2+159)*1,NA()))</f>
        <v/>
      </c>
    </row>
    <row r="161">
      <c r="I161">
        <f>IF(ISNA(J161),NA(),159)</f>
        <v/>
      </c>
      <c r="J161">
        <f>IF($H$2="",NA(),IFERROR(INDEX(CSV!$B:$B,$H$2+160)*1,NA()))</f>
        <v/>
      </c>
      <c r="K161">
        <f>IF($H$2="",NA(),IFERROR(INDEX(CSV!$C:$C,$H$2+160)*1,NA()))</f>
        <v/>
      </c>
    </row>
    <row r="162">
      <c r="I162">
        <f>IF(ISNA(J162),NA(),160)</f>
        <v/>
      </c>
      <c r="J162">
        <f>IF($H$2="",NA(),IFERROR(INDEX(CSV!$B:$B,$H$2+161)*1,NA()))</f>
        <v/>
      </c>
      <c r="K162">
        <f>IF($H$2="",NA(),IFERROR(INDEX(CSV!$C:$C,$H$2+161)*1,NA()))</f>
        <v/>
      </c>
    </row>
    <row r="163">
      <c r="I163">
        <f>IF(ISNA(J163),NA(),161)</f>
        <v/>
      </c>
      <c r="J163">
        <f>IF($H$2="",NA(),IFERROR(INDEX(CSV!$B:$B,$H$2+162)*1,NA()))</f>
        <v/>
      </c>
      <c r="K163">
        <f>IF($H$2="",NA(),IFERROR(INDEX(CSV!$C:$C,$H$2+162)*1,NA()))</f>
        <v/>
      </c>
    </row>
    <row r="164">
      <c r="I164">
        <f>IF(ISNA(J164),NA(),162)</f>
        <v/>
      </c>
      <c r="J164">
        <f>IF($H$2="",NA(),IFERROR(INDEX(CSV!$B:$B,$H$2+163)*1,NA()))</f>
        <v/>
      </c>
      <c r="K164">
        <f>IF($H$2="",NA(),IFERROR(INDEX(CSV!$C:$C,$H$2+163)*1,NA()))</f>
        <v/>
      </c>
    </row>
    <row r="165">
      <c r="I165">
        <f>IF(ISNA(J165),NA(),163)</f>
        <v/>
      </c>
      <c r="J165">
        <f>IF($H$2="",NA(),IFERROR(INDEX(CSV!$B:$B,$H$2+164)*1,NA()))</f>
        <v/>
      </c>
      <c r="K165">
        <f>IF($H$2="",NA(),IFERROR(INDEX(CSV!$C:$C,$H$2+164)*1,NA()))</f>
        <v/>
      </c>
    </row>
    <row r="166">
      <c r="I166">
        <f>IF(ISNA(J166),NA(),164)</f>
        <v/>
      </c>
      <c r="J166">
        <f>IF($H$2="",NA(),IFERROR(INDEX(CSV!$B:$B,$H$2+165)*1,NA()))</f>
        <v/>
      </c>
      <c r="K166">
        <f>IF($H$2="",NA(),IFERROR(INDEX(CSV!$C:$C,$H$2+165)*1,NA()))</f>
        <v/>
      </c>
    </row>
    <row r="167">
      <c r="I167">
        <f>IF(ISNA(J167),NA(),165)</f>
        <v/>
      </c>
      <c r="J167">
        <f>IF($H$2="",NA(),IFERROR(INDEX(CSV!$B:$B,$H$2+166)*1,NA()))</f>
        <v/>
      </c>
      <c r="K167">
        <f>IF($H$2="",NA(),IFERROR(INDEX(CSV!$C:$C,$H$2+166)*1,NA()))</f>
        <v/>
      </c>
    </row>
    <row r="168">
      <c r="I168">
        <f>IF(ISNA(J168),NA(),166)</f>
        <v/>
      </c>
      <c r="J168">
        <f>IF($H$2="",NA(),IFERROR(INDEX(CSV!$B:$B,$H$2+167)*1,NA()))</f>
        <v/>
      </c>
      <c r="K168">
        <f>IF($H$2="",NA(),IFERROR(INDEX(CSV!$C:$C,$H$2+167)*1,NA()))</f>
        <v/>
      </c>
    </row>
    <row r="169">
      <c r="I169">
        <f>IF(ISNA(J169),NA(),167)</f>
        <v/>
      </c>
      <c r="J169">
        <f>IF($H$2="",NA(),IFERROR(INDEX(CSV!$B:$B,$H$2+168)*1,NA()))</f>
        <v/>
      </c>
      <c r="K169">
        <f>IF($H$2="",NA(),IFERROR(INDEX(CSV!$C:$C,$H$2+168)*1,NA()))</f>
        <v/>
      </c>
    </row>
  </sheetData>
  <mergeCells count="2">
    <mergeCell ref="B19:G19"/>
    <mergeCell ref="B18:G18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169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2026-10-24T23:58:30Z</dcterms:created>
  <dcterms:modified xmlns:dcterms="http://purl.org/dc/terms/" xmlns:xsi="http://www.w3.org/2001/XMLSchema-instance" xsi:type="dcterms:W3CDTF">2026-10-24T23:58:30Z</dcterms:modified>
</cp:coreProperties>
</file>