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CS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0.0000"/>
    <numFmt numFmtId="166" formatCode="0.000"/>
    <numFmt numFmtId="167" formatCode="0.0"/>
  </numFmts>
  <fonts count="4">
    <font>
      <name val="Calibri"/>
      <family val="2"/>
      <color theme="1"/>
      <sz val="11"/>
      <scheme val="minor"/>
    </font>
    <font>
      <color rgb="000000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Calibración del potenciómetro rotatorio · (tu nombre)</a:t>
            </a:r>
          </a:p>
        </rich>
      </tx>
    </title>
    <plotArea>
      <scatterChart>
        <ser>
          <idx val="0"/>
          <order val="0"/>
          <tx>
            <strRef>
              <f>'Resultados'!J1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'Resultados'!$I$2:$I$31</f>
            </numRef>
          </xVal>
          <yVal>
            <numRef>
              <f>'Resultados'!$J$2:$J$31</f>
            </numRef>
          </yVal>
        </ser>
        <ser>
          <idx val="1"/>
          <order val="1"/>
          <tx>
            <strRef>
              <f>'Resultados'!K1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'Resultados'!$I$2:$I$31</f>
            </numRef>
          </xVal>
          <yVal>
            <numRef>
              <f>'Resultados'!$K$2:$K$31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Ángulo (°)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Salida (V)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4" customWidth="1" min="9" max="9"/>
    <col width="24" customWidth="1" min="10" max="10"/>
    <col width="24" customWidth="1" min="11" max="11"/>
  </cols>
  <sheetData>
    <row r="1">
      <c r="A1" t="inlineStr">
        <is>
          <t>Nombre completo ✎</t>
        </is>
      </c>
      <c r="B1" s="1" t="n"/>
      <c r="H1" s="2" t="inlineStr">
        <is>
          <t>Encabezado en CSV</t>
        </is>
      </c>
      <c r="I1" s="3" t="inlineStr">
        <is>
          <t>Ángulo (°)</t>
        </is>
      </c>
      <c r="J1" s="3">
        <f>"Medido · "&amp;$B$1</f>
        <v/>
      </c>
      <c r="K1" s="3">
        <f>"Recta · "&amp;$B$1</f>
        <v/>
      </c>
    </row>
    <row r="2">
      <c r="A2" t="inlineStr">
        <is>
          <t>Código de alumno ✎</t>
        </is>
      </c>
      <c r="B2" s="1" t="n"/>
      <c r="H2">
        <f>IFERROR(MATCH("grados",CSV!$A:$A,0),"")</f>
        <v/>
      </c>
      <c r="I2">
        <f>IF($H$2="",NA(),IF(INDEX(CSV!$A:$A,$H$2+1)="",NA(),INDEX(CSV!$A:$A,$H$2+1)*1))</f>
        <v/>
      </c>
      <c r="J2">
        <f>IF($H$2="",NA(),IF(INDEX(CSV!$B:$B,$H$2+1)="",NA(),INDEX(CSV!$B:$B,$H$2+1)*1))</f>
        <v/>
      </c>
      <c r="K2">
        <f>IF($H$2="",NA(),IF(INDEX(CSV!$C:$C,$H$2+1)="",NA(),INDEX(CSV!$C:$C,$H$2+1)*1))</f>
        <v/>
      </c>
    </row>
    <row r="3">
      <c r="A3" t="inlineStr">
        <is>
          <t>Código en el CSV</t>
        </is>
      </c>
      <c r="B3">
        <f>IFERROR(VLOOKUP("codigo",CSV!$A:$B,2,FALSE),"")</f>
        <v/>
      </c>
      <c r="I3">
        <f>IF($H$2="",NA(),IF(INDEX(CSV!$A:$A,$H$2+2)="",NA(),INDEX(CSV!$A:$A,$H$2+2)*1))</f>
        <v/>
      </c>
      <c r="J3">
        <f>IF($H$2="",NA(),IF(INDEX(CSV!$B:$B,$H$2+2)="",NA(),INDEX(CSV!$B:$B,$H$2+2)*1))</f>
        <v/>
      </c>
      <c r="K3">
        <f>IF($H$2="",NA(),IF(INDEX(CSV!$C:$C,$H$2+2)="",NA(),INDEX(CSV!$C:$C,$H$2+2)*1))</f>
        <v/>
      </c>
    </row>
    <row r="4">
      <c r="A4" t="inlineStr">
        <is>
          <t>Verificación</t>
        </is>
      </c>
      <c r="B4">
        <f>IF(B3="","Importa tu CSV",IF(B2="","Escribe tu código",IF(TRIM(B3&amp;"")=TRIM(B2&amp;""),"OK","NO COINCIDE")))</f>
        <v/>
      </c>
      <c r="I4">
        <f>IF($H$2="",NA(),IF(INDEX(CSV!$A:$A,$H$2+3)="",NA(),INDEX(CSV!$A:$A,$H$2+3)*1))</f>
        <v/>
      </c>
      <c r="J4">
        <f>IF($H$2="",NA(),IF(INDEX(CSV!$B:$B,$H$2+3)="",NA(),INDEX(CSV!$B:$B,$H$2+3)*1))</f>
        <v/>
      </c>
      <c r="K4">
        <f>IF($H$2="",NA(),IF(INDEX(CSV!$C:$C,$H$2+3)="",NA(),INDEX(CSV!$C:$C,$H$2+3)*1))</f>
        <v/>
      </c>
    </row>
    <row r="5">
      <c r="A5" t="inlineStr">
        <is>
          <t>Huella del cuaderno</t>
        </is>
      </c>
      <c r="B5">
        <f>IFERROR(VLOOKUP("huella",CSV!$A:$B,2,FALSE),"")</f>
        <v/>
      </c>
      <c r="I5">
        <f>IF($H$2="",NA(),IF(INDEX(CSV!$A:$A,$H$2+4)="",NA(),INDEX(CSV!$A:$A,$H$2+4)*1))</f>
        <v/>
      </c>
      <c r="J5">
        <f>IF($H$2="",NA(),IF(INDEX(CSV!$B:$B,$H$2+4)="",NA(),INDEX(CSV!$B:$B,$H$2+4)*1))</f>
        <v/>
      </c>
      <c r="K5">
        <f>IF($H$2="",NA(),IF(INDEX(CSV!$C:$C,$H$2+4)="",NA(),INDEX(CSV!$C:$C,$H$2+4)*1))</f>
        <v/>
      </c>
    </row>
    <row r="6">
      <c r="A6" t="inlineStr">
        <is>
          <t>Sesión</t>
        </is>
      </c>
      <c r="B6">
        <f>IFERROR(VLOOKUP("sesion",CSV!$A:$B,2,FALSE),"")</f>
        <v/>
      </c>
      <c r="I6">
        <f>IF($H$2="",NA(),IF(INDEX(CSV!$A:$A,$H$2+5)="",NA(),INDEX(CSV!$A:$A,$H$2+5)*1))</f>
        <v/>
      </c>
      <c r="J6">
        <f>IF($H$2="",NA(),IF(INDEX(CSV!$B:$B,$H$2+5)="",NA(),INDEX(CSV!$B:$B,$H$2+5)*1))</f>
        <v/>
      </c>
      <c r="K6">
        <f>IF($H$2="",NA(),IF(INDEX(CSV!$C:$C,$H$2+5)="",NA(),INDEX(CSV!$C:$C,$H$2+5)*1))</f>
        <v/>
      </c>
    </row>
    <row r="7">
      <c r="A7" t="inlineStr">
        <is>
          <t>Fuente de los datos</t>
        </is>
      </c>
      <c r="B7">
        <f>IFERROR(VLOOKUP("fuente",CSV!$A:$B,2,FALSE),"")</f>
        <v/>
      </c>
      <c r="I7">
        <f>IF($H$2="",NA(),IF(INDEX(CSV!$A:$A,$H$2+6)="",NA(),INDEX(CSV!$A:$A,$H$2+6)*1))</f>
        <v/>
      </c>
      <c r="J7">
        <f>IF($H$2="",NA(),IF(INDEX(CSV!$B:$B,$H$2+6)="",NA(),INDEX(CSV!$B:$B,$H$2+6)*1))</f>
        <v/>
      </c>
      <c r="K7">
        <f>IF($H$2="",NA(),IF(INDEX(CSV!$C:$C,$H$2+6)="",NA(),INDEX(CSV!$C:$C,$H$2+6)*1))</f>
        <v/>
      </c>
    </row>
    <row r="8">
      <c r="A8" t="inlineStr">
        <is>
          <t>Rango útil</t>
        </is>
      </c>
      <c r="B8">
        <f>IFERROR(VLOOKUP("rango",CSV!$A:$B,2,FALSE),"")</f>
        <v/>
      </c>
      <c r="I8">
        <f>IF($H$2="",NA(),IF(INDEX(CSV!$A:$A,$H$2+7)="",NA(),INDEX(CSV!$A:$A,$H$2+7)*1))</f>
        <v/>
      </c>
      <c r="J8">
        <f>IF($H$2="",NA(),IF(INDEX(CSV!$B:$B,$H$2+7)="",NA(),INDEX(CSV!$B:$B,$H$2+7)*1))</f>
        <v/>
      </c>
      <c r="K8">
        <f>IF($H$2="",NA(),IF(INDEX(CSV!$C:$C,$H$2+7)="",NA(),INDEX(CSV!$C:$C,$H$2+7)*1))</f>
        <v/>
      </c>
    </row>
    <row r="9">
      <c r="I9">
        <f>IF($H$2="",NA(),IF(INDEX(CSV!$A:$A,$H$2+8)="",NA(),INDEX(CSV!$A:$A,$H$2+8)*1))</f>
        <v/>
      </c>
      <c r="J9">
        <f>IF($H$2="",NA(),IF(INDEX(CSV!$B:$B,$H$2+8)="",NA(),INDEX(CSV!$B:$B,$H$2+8)*1))</f>
        <v/>
      </c>
      <c r="K9">
        <f>IF($H$2="",NA(),IF(INDEX(CSV!$C:$C,$H$2+8)="",NA(),INDEX(CSV!$C:$C,$H$2+8)*1))</f>
        <v/>
      </c>
    </row>
    <row r="10">
      <c r="A10" s="3" t="inlineStr">
        <is>
          <t>Tus resultados</t>
        </is>
      </c>
      <c r="I10">
        <f>IF($H$2="",NA(),IF(INDEX(CSV!$A:$A,$H$2+9)="",NA(),INDEX(CSV!$A:$A,$H$2+9)*1))</f>
        <v/>
      </c>
      <c r="J10">
        <f>IF($H$2="",NA(),IF(INDEX(CSV!$B:$B,$H$2+9)="",NA(),INDEX(CSV!$B:$B,$H$2+9)*1))</f>
        <v/>
      </c>
      <c r="K10">
        <f>IF($H$2="",NA(),IF(INDEX(CSV!$C:$C,$H$2+9)="",NA(),INDEX(CSV!$C:$C,$H$2+9)*1))</f>
        <v/>
      </c>
    </row>
    <row r="11">
      <c r="A11" t="inlineStr">
        <is>
          <t>★ Pendiente de dos puntos (V/bar)</t>
        </is>
      </c>
      <c r="B11" s="4">
        <f>IFERROR(VLOOKUP("resultado:m_2p",CSV!$A:$B,2,FALSE),"")</f>
        <v/>
      </c>
      <c r="I11">
        <f>IF($H$2="",NA(),IF(INDEX(CSV!$A:$A,$H$2+10)="",NA(),INDEX(CSV!$A:$A,$H$2+10)*1))</f>
        <v/>
      </c>
      <c r="J11">
        <f>IF($H$2="",NA(),IF(INDEX(CSV!$B:$B,$H$2+10)="",NA(),INDEX(CSV!$B:$B,$H$2+10)*1))</f>
        <v/>
      </c>
      <c r="K11">
        <f>IF($H$2="",NA(),IF(INDEX(CSV!$C:$C,$H$2+10)="",NA(),INDEX(CSV!$C:$C,$H$2+10)*1))</f>
        <v/>
      </c>
    </row>
    <row r="12">
      <c r="A12" t="inlineStr">
        <is>
          <t>Ordenada al origen (V)</t>
        </is>
      </c>
      <c r="B12" s="5">
        <f>IFERROR(VLOOKUP("resultado:b_2p",CSV!$A:$B,2,FALSE),"")</f>
        <v/>
      </c>
      <c r="I12">
        <f>IF($H$2="",NA(),IF(INDEX(CSV!$A:$A,$H$2+11)="",NA(),INDEX(CSV!$A:$A,$H$2+11)*1))</f>
        <v/>
      </c>
      <c r="J12">
        <f>IF($H$2="",NA(),IF(INDEX(CSV!$B:$B,$H$2+11)="",NA(),INDEX(CSV!$B:$B,$H$2+11)*1))</f>
        <v/>
      </c>
      <c r="K12">
        <f>IF($H$2="",NA(),IF(INDEX(CSV!$C:$C,$H$2+11)="",NA(),INDEX(CSV!$C:$C,$H$2+11)*1))</f>
        <v/>
      </c>
    </row>
    <row r="13">
      <c r="A13" t="inlineStr">
        <is>
          <t>Presión de tu lectura nueva (bar)</t>
        </is>
      </c>
      <c r="B13" s="6">
        <f>IFERROR(VLOOKUP("resultado:P_corr",CSV!$A:$B,2,FALSE),"")</f>
        <v/>
      </c>
      <c r="I13">
        <f>IF($H$2="",NA(),IF(INDEX(CSV!$A:$A,$H$2+12)="",NA(),INDEX(CSV!$A:$A,$H$2+12)*1))</f>
        <v/>
      </c>
      <c r="J13">
        <f>IF($H$2="",NA(),IF(INDEX(CSV!$B:$B,$H$2+12)="",NA(),INDEX(CSV!$B:$B,$H$2+12)*1))</f>
        <v/>
      </c>
      <c r="K13">
        <f>IF($H$2="",NA(),IF(INDEX(CSV!$C:$C,$H$2+12)="",NA(),INDEX(CSV!$C:$C,$H$2+12)*1))</f>
        <v/>
      </c>
    </row>
    <row r="14">
      <c r="A14" t="inlineStr">
        <is>
          <t>No linealidad (V)</t>
        </is>
      </c>
      <c r="B14" s="5">
        <f>IFERROR(VLOOKUP("resultado:no_lin_V",CSV!$A:$B,2,FALSE),"")</f>
        <v/>
      </c>
      <c r="I14">
        <f>IF($H$2="",NA(),IF(INDEX(CSV!$A:$A,$H$2+13)="",NA(),INDEX(CSV!$A:$A,$H$2+13)*1))</f>
        <v/>
      </c>
      <c r="J14">
        <f>IF($H$2="",NA(),IF(INDEX(CSV!$B:$B,$H$2+13)="",NA(),INDEX(CSV!$B:$B,$H$2+13)*1))</f>
        <v/>
      </c>
      <c r="K14">
        <f>IF($H$2="",NA(),IF(INDEX(CSV!$C:$C,$H$2+13)="",NA(),INDEX(CSV!$C:$C,$H$2+13)*1))</f>
        <v/>
      </c>
    </row>
    <row r="15">
      <c r="A15" t="inlineStr">
        <is>
          <t>Rango útil del rotatorio, desde (°)</t>
        </is>
      </c>
      <c r="B15" s="7">
        <f>IFERROR(VLOOKUP("resultado:desde",CSV!$A:$B,2,FALSE),"")</f>
        <v/>
      </c>
      <c r="I15">
        <f>IF($H$2="",NA(),IF(INDEX(CSV!$A:$A,$H$2+14)="",NA(),INDEX(CSV!$A:$A,$H$2+14)*1))</f>
        <v/>
      </c>
      <c r="J15">
        <f>IF($H$2="",NA(),IF(INDEX(CSV!$B:$B,$H$2+14)="",NA(),INDEX(CSV!$B:$B,$H$2+14)*1))</f>
        <v/>
      </c>
      <c r="K15">
        <f>IF($H$2="",NA(),IF(INDEX(CSV!$C:$C,$H$2+14)="",NA(),INDEX(CSV!$C:$C,$H$2+14)*1))</f>
        <v/>
      </c>
    </row>
    <row r="16">
      <c r="A16" t="inlineStr">
        <is>
          <t>Rango útil del rotatorio, hasta (°)</t>
        </is>
      </c>
      <c r="B16" s="7">
        <f>IFERROR(VLOOKUP("resultado:hasta",CSV!$A:$B,2,FALSE),"")</f>
        <v/>
      </c>
      <c r="I16">
        <f>IF($H$2="",NA(),IF(INDEX(CSV!$A:$A,$H$2+15)="",NA(),INDEX(CSV!$A:$A,$H$2+15)*1))</f>
        <v/>
      </c>
      <c r="J16">
        <f>IF($H$2="",NA(),IF(INDEX(CSV!$B:$B,$H$2+15)="",NA(),INDEX(CSV!$B:$B,$H$2+15)*1))</f>
        <v/>
      </c>
      <c r="K16">
        <f>IF($H$2="",NA(),IF(INDEX(CSV!$C:$C,$H$2+15)="",NA(),INDEX(CSV!$C:$C,$H$2+15)*1))</f>
        <v/>
      </c>
    </row>
    <row r="17">
      <c r="A17" t="inlineStr">
        <is>
          <t>Pendiente del rotatorio (V/°)</t>
        </is>
      </c>
      <c r="B17" s="4">
        <f>IFERROR(VLOOKUP("resultado:m_rot",CSV!$A:$B,2,FALSE),"")</f>
        <v/>
      </c>
      <c r="I17">
        <f>IF($H$2="",NA(),IF(INDEX(CSV!$A:$A,$H$2+16)="",NA(),INDEX(CSV!$A:$A,$H$2+16)*1))</f>
        <v/>
      </c>
      <c r="J17">
        <f>IF($H$2="",NA(),IF(INDEX(CSV!$B:$B,$H$2+16)="",NA(),INDEX(CSV!$B:$B,$H$2+16)*1))</f>
        <v/>
      </c>
      <c r="K17">
        <f>IF($H$2="",NA(),IF(INDEX(CSV!$C:$C,$H$2+16)="",NA(),INDEX(CSV!$C:$C,$H$2+16)*1))</f>
        <v/>
      </c>
    </row>
    <row r="18">
      <c r="A18" t="inlineStr">
        <is>
          <t>R² del rotatorio</t>
        </is>
      </c>
      <c r="B18" s="4">
        <f>IFERROR(VLOOKUP("resultado:R2_rot",CSV!$A:$B,2,FALSE),"")</f>
        <v/>
      </c>
      <c r="I18">
        <f>IF($H$2="",NA(),IF(INDEX(CSV!$A:$A,$H$2+17)="",NA(),INDEX(CSV!$A:$A,$H$2+17)*1))</f>
        <v/>
      </c>
      <c r="J18">
        <f>IF($H$2="",NA(),IF(INDEX(CSV!$B:$B,$H$2+17)="",NA(),INDEX(CSV!$B:$B,$H$2+17)*1))</f>
        <v/>
      </c>
      <c r="K18">
        <f>IF($H$2="",NA(),IF(INDEX(CSV!$C:$C,$H$2+17)="",NA(),INDEX(CSV!$C:$C,$H$2+17)*1))</f>
        <v/>
      </c>
    </row>
    <row r="19">
      <c r="A19" t="inlineStr">
        <is>
          <t>Tu lectura por regla de tres (°)</t>
        </is>
      </c>
      <c r="B19" s="8">
        <f>IFERROR(VLOOKUP("resultado:ang_regla",CSV!$A:$B,2,FALSE),"")</f>
        <v/>
      </c>
      <c r="I19">
        <f>IF($H$2="",NA(),IF(INDEX(CSV!$A:$A,$H$2+18)="",NA(),INDEX(CSV!$A:$A,$H$2+18)*1))</f>
        <v/>
      </c>
      <c r="J19">
        <f>IF($H$2="",NA(),IF(INDEX(CSV!$B:$B,$H$2+18)="",NA(),INDEX(CSV!$B:$B,$H$2+18)*1))</f>
        <v/>
      </c>
      <c r="K19">
        <f>IF($H$2="",NA(),IF(INDEX(CSV!$C:$C,$H$2+18)="",NA(),INDEX(CSV!$C:$C,$H$2+18)*1))</f>
        <v/>
      </c>
    </row>
    <row r="20">
      <c r="A20" t="inlineStr">
        <is>
          <t>Tu lectura con la calibración (°)</t>
        </is>
      </c>
      <c r="B20" s="8">
        <f>IFERROR(VLOOKUP("resultado:ang_cal",CSV!$A:$B,2,FALSE),"")</f>
        <v/>
      </c>
      <c r="I20">
        <f>IF($H$2="",NA(),IF(INDEX(CSV!$A:$A,$H$2+19)="",NA(),INDEX(CSV!$A:$A,$H$2+19)*1))</f>
        <v/>
      </c>
      <c r="J20">
        <f>IF($H$2="",NA(),IF(INDEX(CSV!$B:$B,$H$2+19)="",NA(),INDEX(CSV!$B:$B,$H$2+19)*1))</f>
        <v/>
      </c>
      <c r="K20">
        <f>IF($H$2="",NA(),IF(INDEX(CSV!$C:$C,$H$2+19)="",NA(),INDEX(CSV!$C:$C,$H$2+19)*1))</f>
        <v/>
      </c>
    </row>
    <row r="21">
      <c r="A21" t="inlineStr">
        <is>
          <t>Grado elegido para el deslizable</t>
        </is>
      </c>
      <c r="B21" s="7">
        <f>IFERROR(VLOOKUP("resultado:grado_desl",CSV!$A:$B,2,FALSE),"")</f>
        <v/>
      </c>
      <c r="I21">
        <f>IF($H$2="",NA(),IF(INDEX(CSV!$A:$A,$H$2+20)="",NA(),INDEX(CSV!$A:$A,$H$2+20)*1))</f>
        <v/>
      </c>
      <c r="J21">
        <f>IF($H$2="",NA(),IF(INDEX(CSV!$B:$B,$H$2+20)="",NA(),INDEX(CSV!$B:$B,$H$2+20)*1))</f>
        <v/>
      </c>
      <c r="K21">
        <f>IF($H$2="",NA(),IF(INDEX(CSV!$C:$C,$H$2+20)="",NA(),INDEX(CSV!$C:$C,$H$2+20)*1))</f>
        <v/>
      </c>
    </row>
    <row r="22">
      <c r="A22" t="inlineStr">
        <is>
          <t>R² del deslizable</t>
        </is>
      </c>
      <c r="B22" s="5">
        <f>IFERROR(VLOOKUP("resultado:R2_desl",CSV!$A:$B,2,FALSE),"")</f>
        <v/>
      </c>
      <c r="I22">
        <f>IF($H$2="",NA(),IF(INDEX(CSV!$A:$A,$H$2+21)="",NA(),INDEX(CSV!$A:$A,$H$2+21)*1))</f>
        <v/>
      </c>
      <c r="J22">
        <f>IF($H$2="",NA(),IF(INDEX(CSV!$B:$B,$H$2+21)="",NA(),INDEX(CSV!$B:$B,$H$2+21)*1))</f>
        <v/>
      </c>
      <c r="K22">
        <f>IF($H$2="",NA(),IF(INDEX(CSV!$C:$C,$H$2+21)="",NA(),INDEX(CSV!$C:$C,$H$2+21)*1))</f>
        <v/>
      </c>
    </row>
    <row r="23">
      <c r="I23">
        <f>IF($H$2="",NA(),IF(INDEX(CSV!$A:$A,$H$2+22)="",NA(),INDEX(CSV!$A:$A,$H$2+22)*1))</f>
        <v/>
      </c>
      <c r="J23">
        <f>IF($H$2="",NA(),IF(INDEX(CSV!$B:$B,$H$2+22)="",NA(),INDEX(CSV!$B:$B,$H$2+22)*1))</f>
        <v/>
      </c>
      <c r="K23">
        <f>IF($H$2="",NA(),IF(INDEX(CSV!$C:$C,$H$2+22)="",NA(),INDEX(CSV!$C:$C,$H$2+22)*1))</f>
        <v/>
      </c>
    </row>
    <row r="24">
      <c r="A24" s="3" t="inlineStr">
        <is>
          <t>Predicho contra obtenido</t>
        </is>
      </c>
      <c r="I24">
        <f>IF($H$2="",NA(),IF(INDEX(CSV!$A:$A,$H$2+23)="",NA(),INDEX(CSV!$A:$A,$H$2+23)*1))</f>
        <v/>
      </c>
      <c r="J24">
        <f>IF($H$2="",NA(),IF(INDEX(CSV!$B:$B,$H$2+23)="",NA(),INDEX(CSV!$B:$B,$H$2+23)*1))</f>
        <v/>
      </c>
      <c r="K24">
        <f>IF($H$2="",NA(),IF(INDEX(CSV!$C:$C,$H$2+23)="",NA(),INDEX(CSV!$C:$C,$H$2+23)*1))</f>
        <v/>
      </c>
    </row>
    <row r="25">
      <c r="A25" t="inlineStr">
        <is>
          <t>Diferencia, regla de tres contra calibración (%)</t>
        </is>
      </c>
      <c r="B25" s="8">
        <f>IF(OR(B20="",B19=""),"",(B19-B20)/B20*100)</f>
        <v/>
      </c>
      <c r="I25">
        <f>IF($H$2="",NA(),IF(INDEX(CSV!$A:$A,$H$2+24)="",NA(),INDEX(CSV!$A:$A,$H$2+24)*1))</f>
        <v/>
      </c>
      <c r="J25">
        <f>IF($H$2="",NA(),IF(INDEX(CSV!$B:$B,$H$2+24)="",NA(),INDEX(CSV!$B:$B,$H$2+24)*1))</f>
        <v/>
      </c>
      <c r="K25">
        <f>IF($H$2="",NA(),IF(INDEX(CSV!$C:$C,$H$2+24)="",NA(),INDEX(CSV!$C:$C,$H$2+24)*1))</f>
        <v/>
      </c>
    </row>
    <row r="26">
      <c r="I26">
        <f>IF($H$2="",NA(),IF(INDEX(CSV!$A:$A,$H$2+25)="",NA(),INDEX(CSV!$A:$A,$H$2+25)*1))</f>
        <v/>
      </c>
      <c r="J26">
        <f>IF($H$2="",NA(),IF(INDEX(CSV!$B:$B,$H$2+25)="",NA(),INDEX(CSV!$B:$B,$H$2+25)*1))</f>
        <v/>
      </c>
      <c r="K26">
        <f>IF($H$2="",NA(),IF(INDEX(CSV!$C:$C,$H$2+25)="",NA(),INDEX(CSV!$C:$C,$H$2+25)*1))</f>
        <v/>
      </c>
    </row>
    <row r="27">
      <c r="A27" s="3" t="inlineStr">
        <is>
          <t>Preguntas del reporte ✎</t>
        </is>
      </c>
      <c r="I27">
        <f>IF($H$2="",NA(),IF(INDEX(CSV!$A:$A,$H$2+26)="",NA(),INDEX(CSV!$A:$A,$H$2+26)*1))</f>
        <v/>
      </c>
      <c r="J27">
        <f>IF($H$2="",NA(),IF(INDEX(CSV!$B:$B,$H$2+26)="",NA(),INDEX(CSV!$B:$B,$H$2+26)*1))</f>
        <v/>
      </c>
      <c r="K27">
        <f>IF($H$2="",NA(),IF(INDEX(CSV!$C:$C,$H$2+26)="",NA(),INDEX(CSV!$C:$C,$H$2+26)*1))</f>
        <v/>
      </c>
    </row>
    <row r="28" ht="75" customHeight="1">
      <c r="A28" s="9" t="inlineStr">
        <is>
          <t>1. ¿Por qué la regla de tres da un ángulo distinto del calibrado? Usa tus números y la gráfica.</t>
        </is>
      </c>
      <c r="B28" s="10" t="n"/>
      <c r="I28">
        <f>IF($H$2="",NA(),IF(INDEX(CSV!$A:$A,$H$2+27)="",NA(),INDEX(CSV!$A:$A,$H$2+27)*1))</f>
        <v/>
      </c>
      <c r="J28">
        <f>IF($H$2="",NA(),IF(INDEX(CSV!$B:$B,$H$2+27)="",NA(),INDEX(CSV!$B:$B,$H$2+27)*1))</f>
        <v/>
      </c>
      <c r="K28">
        <f>IF($H$2="",NA(),IF(INDEX(CSV!$C:$C,$H$2+27)="",NA(),INDEX(CSV!$C:$C,$H$2+27)*1))</f>
        <v/>
      </c>
    </row>
    <row r="29" ht="75" customHeight="1">
      <c r="A29" s="9" t="inlineStr">
        <is>
          <t>2. ¿Qué grado elegiste para el deslizable y qué viste en los residuos para decidirlo?</t>
        </is>
      </c>
      <c r="B29" s="10" t="n"/>
      <c r="I29">
        <f>IF($H$2="",NA(),IF(INDEX(CSV!$A:$A,$H$2+28)="",NA(),INDEX(CSV!$A:$A,$H$2+28)*1))</f>
        <v/>
      </c>
      <c r="J29">
        <f>IF($H$2="",NA(),IF(INDEX(CSV!$B:$B,$H$2+28)="",NA(),INDEX(CSV!$B:$B,$H$2+28)*1))</f>
        <v/>
      </c>
      <c r="K29">
        <f>IF($H$2="",NA(),IF(INDEX(CSV!$C:$C,$H$2+28)="",NA(),INDEX(CSV!$C:$C,$H$2+28)*1))</f>
        <v/>
      </c>
    </row>
    <row r="30">
      <c r="I30">
        <f>IF($H$2="",NA(),IF(INDEX(CSV!$A:$A,$H$2+29)="",NA(),INDEX(CSV!$A:$A,$H$2+29)*1))</f>
        <v/>
      </c>
      <c r="J30">
        <f>IF($H$2="",NA(),IF(INDEX(CSV!$B:$B,$H$2+29)="",NA(),INDEX(CSV!$B:$B,$H$2+29)*1))</f>
        <v/>
      </c>
      <c r="K30">
        <f>IF($H$2="",NA(),IF(INDEX(CSV!$C:$C,$H$2+29)="",NA(),INDEX(CSV!$C:$C,$H$2+29)*1))</f>
        <v/>
      </c>
    </row>
    <row r="31">
      <c r="A31" s="2" t="inlineStr">
        <is>
          <t>La gráfica se arma sola al importar tu CSV. Cambia su título por tu nombre (doble clic en el título); la leyenda ya lo toma de B1.</t>
        </is>
      </c>
      <c r="I31">
        <f>IF($H$2="",NA(),IF(INDEX(CSV!$A:$A,$H$2+30)="",NA(),INDEX(CSV!$A:$A,$H$2+30)*1))</f>
        <v/>
      </c>
      <c r="J31">
        <f>IF($H$2="",NA(),IF(INDEX(CSV!$B:$B,$H$2+30)="",NA(),INDEX(CSV!$B:$B,$H$2+30)*1))</f>
        <v/>
      </c>
      <c r="K31">
        <f>IF($H$2="",NA(),IF(INDEX(CSV!$C:$C,$H$2+30)="",NA(),INDEX(CSV!$C:$C,$H$2+30)*1))</f>
        <v/>
      </c>
    </row>
  </sheetData>
  <mergeCells count="2">
    <mergeCell ref="B29:G29"/>
    <mergeCell ref="B28:G28"/>
  </mergeCells>
  <conditionalFormatting sqref="B4">
    <cfRule type="expression" priority="1" dxfId="0">
      <formula>B4="NO COINCIDE"</formula>
    </cfRule>
    <cfRule type="expression" priority="2" dxfId="1">
      <formula>B4="OK"</formula>
    </cfRule>
  </conditionalFormatting>
  <conditionalFormatting sqref="B7">
    <cfRule type="expression" priority="3" dxfId="0">
      <formula>ISNUMBER(SEARCH("SINT",B7))</formula>
    </cfRule>
  </conditionalFormatting>
  <conditionalFormatting sqref="I2:K31">
    <cfRule type="expression" priority="4" dxfId="2">
      <formula>ISNA(I2)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 aquí tu CSV: Archivo → Importar → Subir → Reemplazar la hoja 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2026-10-25T02:57:45Z</dcterms:created>
  <dcterms:modified xmlns:dcterms="http://purl.org/dc/terms/" xmlns:xsi="http://www.w3.org/2001/XMLSchema-instance" xsi:type="dcterms:W3CDTF">2026-10-25T02:57:45Z</dcterms:modified>
</cp:coreProperties>
</file>