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CS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4">
    <font>
      <name val="Calibri"/>
      <family val="2"/>
      <color theme="1"/>
      <sz val="11"/>
      <scheme val="minor"/>
    </font>
    <font>
      <color rgb="000000FF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Temperatura registrada en la práctica · (tu nombre)</a:t>
            </a:r>
          </a:p>
        </rich>
      </tx>
    </title>
    <plotArea>
      <scatterChart>
        <ser>
          <idx val="0"/>
          <order val="0"/>
          <tx>
            <strRef>
              <f>'Resultados'!J1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'Resultados'!$I$2:$I$81</f>
            </numRef>
          </xVal>
          <yVal>
            <numRef>
              <f>'Resultados'!$J$2:$J$81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Día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Temperatura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28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4" customWidth="1" min="9" max="9"/>
    <col width="24" customWidth="1" min="10" max="10"/>
  </cols>
  <sheetData>
    <row r="1">
      <c r="A1" t="inlineStr">
        <is>
          <t>Nombre completo ✎</t>
        </is>
      </c>
      <c r="B1" s="1" t="n"/>
      <c r="H1" s="2" t="inlineStr">
        <is>
          <t>Encabezado en CSV</t>
        </is>
      </c>
      <c r="I1" s="3" t="inlineStr">
        <is>
          <t>Día</t>
        </is>
      </c>
      <c r="J1" s="3">
        <f>"Registrada · "&amp;$B$1</f>
        <v/>
      </c>
    </row>
    <row r="2">
      <c r="A2" t="inlineStr">
        <is>
          <t>Código de alumno ✎</t>
        </is>
      </c>
      <c r="B2" s="1" t="n"/>
      <c r="H2">
        <f>IFERROR(MATCH("dia",CSV!$A:$A,0),"")</f>
        <v/>
      </c>
      <c r="I2">
        <f>IF($H$2="",NA(),IF(INDEX(CSV!$A:$A,$H$2+1)="",NA(),INDEX(CSV!$A:$A,$H$2+1)*1))</f>
        <v/>
      </c>
      <c r="J2">
        <f>IF($H$2="",NA(),IF(INDEX(CSV!$B:$B,$H$2+1)="",NA(),INDEX(CSV!$B:$B,$H$2+1)*1))</f>
        <v/>
      </c>
    </row>
    <row r="3">
      <c r="A3" t="inlineStr">
        <is>
          <t>Código en el CSV</t>
        </is>
      </c>
      <c r="B3">
        <f>IFERROR(VLOOKUP("codigo",CSV!$A:$B,2,FALSE),"")</f>
        <v/>
      </c>
      <c r="I3">
        <f>IF($H$2="",NA(),IF(INDEX(CSV!$A:$A,$H$2+2)="",NA(),INDEX(CSV!$A:$A,$H$2+2)*1))</f>
        <v/>
      </c>
      <c r="J3">
        <f>IF($H$2="",NA(),IF(INDEX(CSV!$B:$B,$H$2+2)="",NA(),INDEX(CSV!$B:$B,$H$2+2)*1))</f>
        <v/>
      </c>
    </row>
    <row r="4">
      <c r="A4" t="inlineStr">
        <is>
          <t>Verificación</t>
        </is>
      </c>
      <c r="B4">
        <f>IF(B3="","Importa tu CSV",IF(B2="","Escribe tu código",IF(TRIM(B3&amp;"")=TRIM(B2&amp;""),"OK","NO COINCIDE")))</f>
        <v/>
      </c>
      <c r="I4">
        <f>IF($H$2="",NA(),IF(INDEX(CSV!$A:$A,$H$2+3)="",NA(),INDEX(CSV!$A:$A,$H$2+3)*1))</f>
        <v/>
      </c>
      <c r="J4">
        <f>IF($H$2="",NA(),IF(INDEX(CSV!$B:$B,$H$2+3)="",NA(),INDEX(CSV!$B:$B,$H$2+3)*1))</f>
        <v/>
      </c>
    </row>
    <row r="5">
      <c r="A5" t="inlineStr">
        <is>
          <t>Huella del cuaderno</t>
        </is>
      </c>
      <c r="B5">
        <f>IFERROR(VLOOKUP("huella",CSV!$A:$B,2,FALSE),"")</f>
        <v/>
      </c>
      <c r="I5">
        <f>IF($H$2="",NA(),IF(INDEX(CSV!$A:$A,$H$2+4)="",NA(),INDEX(CSV!$A:$A,$H$2+4)*1))</f>
        <v/>
      </c>
      <c r="J5">
        <f>IF($H$2="",NA(),IF(INDEX(CSV!$B:$B,$H$2+4)="",NA(),INDEX(CSV!$B:$B,$H$2+4)*1))</f>
        <v/>
      </c>
    </row>
    <row r="6">
      <c r="A6" t="inlineStr">
        <is>
          <t>Sesión</t>
        </is>
      </c>
      <c r="B6">
        <f>IFERROR(VLOOKUP("sesion",CSV!$A:$B,2,FALSE),"")</f>
        <v/>
      </c>
      <c r="I6">
        <f>IF($H$2="",NA(),IF(INDEX(CSV!$A:$A,$H$2+5)="",NA(),INDEX(CSV!$A:$A,$H$2+5)*1))</f>
        <v/>
      </c>
      <c r="J6">
        <f>IF($H$2="",NA(),IF(INDEX(CSV!$B:$B,$H$2+5)="",NA(),INDEX(CSV!$B:$B,$H$2+5)*1))</f>
        <v/>
      </c>
    </row>
    <row r="7">
      <c r="A7" t="inlineStr">
        <is>
          <t>Fuente de los datos</t>
        </is>
      </c>
      <c r="B7">
        <f>IFERROR(VLOOKUP("fuente",CSV!$A:$B,2,FALSE),"")</f>
        <v/>
      </c>
      <c r="I7">
        <f>IF($H$2="",NA(),IF(INDEX(CSV!$A:$A,$H$2+6)="",NA(),INDEX(CSV!$A:$A,$H$2+6)*1))</f>
        <v/>
      </c>
      <c r="J7">
        <f>IF($H$2="",NA(),IF(INDEX(CSV!$B:$B,$H$2+6)="",NA(),INDEX(CSV!$B:$B,$H$2+6)*1))</f>
        <v/>
      </c>
    </row>
    <row r="8">
      <c r="A8" t="inlineStr">
        <is>
          <t>Periodo</t>
        </is>
      </c>
      <c r="B8">
        <f>IFERROR(VLOOKUP("periodo",CSV!$A:$B,2,FALSE),"")</f>
        <v/>
      </c>
      <c r="I8">
        <f>IF($H$2="",NA(),IF(INDEX(CSV!$A:$A,$H$2+7)="",NA(),INDEX(CSV!$A:$A,$H$2+7)*1))</f>
        <v/>
      </c>
      <c r="J8">
        <f>IF($H$2="",NA(),IF(INDEX(CSV!$B:$B,$H$2+7)="",NA(),INDEX(CSV!$B:$B,$H$2+7)*1))</f>
        <v/>
      </c>
    </row>
    <row r="9">
      <c r="A9" t="inlineStr">
        <is>
          <t>Escenario</t>
        </is>
      </c>
      <c r="B9">
        <f>IFERROR(VLOOKUP("escenario",CSV!$A:$B,2,FALSE),"")</f>
        <v/>
      </c>
      <c r="I9">
        <f>IF($H$2="",NA(),IF(INDEX(CSV!$A:$A,$H$2+8)="",NA(),INDEX(CSV!$A:$A,$H$2+8)*1))</f>
        <v/>
      </c>
      <c r="J9">
        <f>IF($H$2="",NA(),IF(INDEX(CSV!$B:$B,$H$2+8)="",NA(),INDEX(CSV!$B:$B,$H$2+8)*1))</f>
        <v/>
      </c>
    </row>
    <row r="10">
      <c r="I10">
        <f>IF($H$2="",NA(),IF(INDEX(CSV!$A:$A,$H$2+9)="",NA(),INDEX(CSV!$A:$A,$H$2+9)*1))</f>
        <v/>
      </c>
      <c r="J10">
        <f>IF($H$2="",NA(),IF(INDEX(CSV!$B:$B,$H$2+9)="",NA(),INDEX(CSV!$B:$B,$H$2+9)*1))</f>
        <v/>
      </c>
    </row>
    <row r="11">
      <c r="A11" s="3" t="inlineStr">
        <is>
          <t>Tus resultados</t>
        </is>
      </c>
      <c r="I11">
        <f>IF($H$2="",NA(),IF(INDEX(CSV!$A:$A,$H$2+10)="",NA(),INDEX(CSV!$A:$A,$H$2+10)*1))</f>
        <v/>
      </c>
      <c r="J11">
        <f>IF($H$2="",NA(),IF(INDEX(CSV!$B:$B,$H$2+10)="",NA(),INDEX(CSV!$B:$B,$H$2+10)*1))</f>
        <v/>
      </c>
    </row>
    <row r="12">
      <c r="A12" t="inlineStr">
        <is>
          <t>★ Intervalo máximo por Nyquist (s)</t>
        </is>
      </c>
      <c r="B12" s="4">
        <f>IFERROR(VLOOKUP("resultado:dt_max_s",CSV!$A:$B,2,FALSE),"")</f>
        <v/>
      </c>
      <c r="I12">
        <f>IF($H$2="",NA(),IF(INDEX(CSV!$A:$A,$H$2+11)="",NA(),INDEX(CSV!$A:$A,$H$2+11)*1))</f>
        <v/>
      </c>
      <c r="J12">
        <f>IF($H$2="",NA(),IF(INDEX(CSV!$B:$B,$H$2+11)="",NA(),INDEX(CSV!$B:$B,$H$2+11)*1))</f>
        <v/>
      </c>
    </row>
    <row r="13">
      <c r="A13" t="inlineStr">
        <is>
          <t>Periodo del ciclo falso, ejercicio 2 (s)</t>
        </is>
      </c>
      <c r="B13" s="4">
        <f>IFERROR(VLOOKUP("resultado:T_aparente_s",CSV!$A:$B,2,FALSE),"")</f>
        <v/>
      </c>
      <c r="I13">
        <f>IF($H$2="",NA(),IF(INDEX(CSV!$A:$A,$H$2+12)="",NA(),INDEX(CSV!$A:$A,$H$2+12)*1))</f>
        <v/>
      </c>
      <c r="J13">
        <f>IF($H$2="",NA(),IF(INDEX(CSV!$B:$B,$H$2+12)="",NA(),INDEX(CSV!$B:$B,$H$2+12)*1))</f>
        <v/>
      </c>
    </row>
    <row r="14">
      <c r="A14" t="inlineStr">
        <is>
          <t>Error máximo de cuantización (unidad de tu variable)</t>
        </is>
      </c>
      <c r="B14" s="5">
        <f>IFERROR(VLOOKUP("resultado:error_cuant",CSV!$A:$B,2,FALSE),"")</f>
        <v/>
      </c>
      <c r="I14">
        <f>IF($H$2="",NA(),IF(INDEX(CSV!$A:$A,$H$2+13)="",NA(),INDEX(CSV!$A:$A,$H$2+13)*1))</f>
        <v/>
      </c>
      <c r="J14">
        <f>IF($H$2="",NA(),IF(INDEX(CSV!$B:$B,$H$2+13)="",NA(),INDEX(CSV!$B:$B,$H$2+13)*1))</f>
        <v/>
      </c>
    </row>
    <row r="15">
      <c r="A15" t="inlineStr">
        <is>
          <t>Días que dura la memoria con P/10</t>
        </is>
      </c>
      <c r="B15" s="4">
        <f>IFERROR(VLOOKUP("resultado:dias_memoria",CSV!$A:$B,2,FALSE),"")</f>
        <v/>
      </c>
      <c r="I15">
        <f>IF($H$2="",NA(),IF(INDEX(CSV!$A:$A,$H$2+14)="",NA(),INDEX(CSV!$A:$A,$H$2+14)*1))</f>
        <v/>
      </c>
      <c r="J15">
        <f>IF($H$2="",NA(),IF(INDEX(CSV!$B:$B,$H$2+14)="",NA(),INDEX(CSV!$B:$B,$H$2+14)*1))</f>
        <v/>
      </c>
    </row>
    <row r="16">
      <c r="A16" t="inlineStr">
        <is>
          <t>Intervalo de tu campaña (s)</t>
        </is>
      </c>
      <c r="B16" s="6">
        <f>IFERROR(VLOOKUP("resultado:intervalo_campana_s",CSV!$A:$B,2,FALSE),"")</f>
        <v/>
      </c>
      <c r="I16">
        <f>IF($H$2="",NA(),IF(INDEX(CSV!$A:$A,$H$2+15)="",NA(),INDEX(CSV!$A:$A,$H$2+15)*1))</f>
        <v/>
      </c>
      <c r="J16">
        <f>IF($H$2="",NA(),IF(INDEX(CSV!$B:$B,$H$2+15)="",NA(),INDEX(CSV!$B:$B,$H$2+15)*1))</f>
        <v/>
      </c>
    </row>
    <row r="17">
      <c r="A17" t="inlineStr">
        <is>
          <t>Intervalo de la práctica (h)</t>
        </is>
      </c>
      <c r="B17" s="6">
        <f>IFERROR(VLOOKUP("resultado:DT_B_h",CSV!$A:$B,2,FALSE),"")</f>
        <v/>
      </c>
      <c r="I17">
        <f>IF($H$2="",NA(),IF(INDEX(CSV!$A:$A,$H$2+16)="",NA(),INDEX(CSV!$A:$A,$H$2+16)*1))</f>
        <v/>
      </c>
      <c r="J17">
        <f>IF($H$2="",NA(),IF(INDEX(CSV!$B:$B,$H$2+16)="",NA(),INDEX(CSV!$B:$B,$H$2+16)*1))</f>
        <v/>
      </c>
    </row>
    <row r="18">
      <c r="A18" t="inlineStr">
        <is>
          <t>Ciclo falso predicho (h)</t>
        </is>
      </c>
      <c r="B18" s="4">
        <f>IFERROR(VLOOKUP("resultado:T_aparente_pred_h",CSV!$A:$B,2,FALSE),"")</f>
        <v/>
      </c>
      <c r="I18">
        <f>IF($H$2="",NA(),IF(INDEX(CSV!$A:$A,$H$2+17)="",NA(),INDEX(CSV!$A:$A,$H$2+17)*1))</f>
        <v/>
      </c>
      <c r="J18">
        <f>IF($H$2="",NA(),IF(INDEX(CSV!$B:$B,$H$2+17)="",NA(),INDEX(CSV!$B:$B,$H$2+17)*1))</f>
        <v/>
      </c>
    </row>
    <row r="19">
      <c r="A19" t="inlineStr">
        <is>
          <t>Ciclo falso obtenido por conteo (h)</t>
        </is>
      </c>
      <c r="B19" s="4">
        <f>IFERROR(VLOOKUP("resultado:T_aparente_obt_h",CSV!$A:$B,2,FALSE),"")</f>
        <v/>
      </c>
      <c r="I19">
        <f>IF($H$2="",NA(),IF(INDEX(CSV!$A:$A,$H$2+18)="",NA(),INDEX(CSV!$A:$A,$H$2+18)*1))</f>
        <v/>
      </c>
      <c r="J19">
        <f>IF($H$2="",NA(),IF(INDEX(CSV!$B:$B,$H$2+18)="",NA(),INDEX(CSV!$B:$B,$H$2+18)*1))</f>
        <v/>
      </c>
    </row>
    <row r="20">
      <c r="I20">
        <f>IF($H$2="",NA(),IF(INDEX(CSV!$A:$A,$H$2+19)="",NA(),INDEX(CSV!$A:$A,$H$2+19)*1))</f>
        <v/>
      </c>
      <c r="J20">
        <f>IF($H$2="",NA(),IF(INDEX(CSV!$B:$B,$H$2+19)="",NA(),INDEX(CSV!$B:$B,$H$2+19)*1))</f>
        <v/>
      </c>
    </row>
    <row r="21">
      <c r="A21" s="3" t="inlineStr">
        <is>
          <t>Predicho contra obtenido</t>
        </is>
      </c>
      <c r="I21">
        <f>IF($H$2="",NA(),IF(INDEX(CSV!$A:$A,$H$2+20)="",NA(),INDEX(CSV!$A:$A,$H$2+20)*1))</f>
        <v/>
      </c>
      <c r="J21">
        <f>IF($H$2="",NA(),IF(INDEX(CSV!$B:$B,$H$2+20)="",NA(),INDEX(CSV!$B:$B,$H$2+20)*1))</f>
        <v/>
      </c>
    </row>
    <row r="22">
      <c r="A22" t="inlineStr">
        <is>
          <t>Diferencia, obtenido contra predicho (%)</t>
        </is>
      </c>
      <c r="B22" s="4">
        <f>IF(OR(B18="",B19=""),"",(B19-B18)/B18*100)</f>
        <v/>
      </c>
      <c r="I22">
        <f>IF($H$2="",NA(),IF(INDEX(CSV!$A:$A,$H$2+21)="",NA(),INDEX(CSV!$A:$A,$H$2+21)*1))</f>
        <v/>
      </c>
      <c r="J22">
        <f>IF($H$2="",NA(),IF(INDEX(CSV!$B:$B,$H$2+21)="",NA(),INDEX(CSV!$B:$B,$H$2+21)*1))</f>
        <v/>
      </c>
    </row>
    <row r="23">
      <c r="I23">
        <f>IF($H$2="",NA(),IF(INDEX(CSV!$A:$A,$H$2+22)="",NA(),INDEX(CSV!$A:$A,$H$2+22)*1))</f>
        <v/>
      </c>
      <c r="J23">
        <f>IF($H$2="",NA(),IF(INDEX(CSV!$B:$B,$H$2+22)="",NA(),INDEX(CSV!$B:$B,$H$2+22)*1))</f>
        <v/>
      </c>
    </row>
    <row r="24">
      <c r="A24" s="3" t="inlineStr">
        <is>
          <t>Preguntas del reporte ✎</t>
        </is>
      </c>
      <c r="I24">
        <f>IF($H$2="",NA(),IF(INDEX(CSV!$A:$A,$H$2+23)="",NA(),INDEX(CSV!$A:$A,$H$2+23)*1))</f>
        <v/>
      </c>
      <c r="J24">
        <f>IF($H$2="",NA(),IF(INDEX(CSV!$B:$B,$H$2+23)="",NA(),INDEX(CSV!$B:$B,$H$2+23)*1))</f>
        <v/>
      </c>
    </row>
    <row r="25" ht="75" customHeight="1">
      <c r="A25" s="7" t="inlineStr">
        <is>
          <t>1. ¿Por qué el registro muestra un ciclo de varios días si la temperatura cicla cada 24 h? Usa tus números.</t>
        </is>
      </c>
      <c r="B25" s="8" t="n"/>
      <c r="I25">
        <f>IF($H$2="",NA(),IF(INDEX(CSV!$A:$A,$H$2+24)="",NA(),INDEX(CSV!$A:$A,$H$2+24)*1))</f>
        <v/>
      </c>
      <c r="J25">
        <f>IF($H$2="",NA(),IF(INDEX(CSV!$B:$B,$H$2+24)="",NA(),INDEX(CSV!$B:$B,$H$2+24)*1))</f>
        <v/>
      </c>
    </row>
    <row r="26" ht="75" customHeight="1">
      <c r="A26" s="7" t="inlineStr">
        <is>
          <t>2. ¿Qué intervalo programaste para tu campaña y cómo cumple las tres reglas (mínimo del RC-5, Nyquist y memoria)?</t>
        </is>
      </c>
      <c r="B26" s="8" t="n"/>
      <c r="I26">
        <f>IF($H$2="",NA(),IF(INDEX(CSV!$A:$A,$H$2+25)="",NA(),INDEX(CSV!$A:$A,$H$2+25)*1))</f>
        <v/>
      </c>
      <c r="J26">
        <f>IF($H$2="",NA(),IF(INDEX(CSV!$B:$B,$H$2+25)="",NA(),INDEX(CSV!$B:$B,$H$2+25)*1))</f>
        <v/>
      </c>
    </row>
    <row r="27">
      <c r="I27">
        <f>IF($H$2="",NA(),IF(INDEX(CSV!$A:$A,$H$2+26)="",NA(),INDEX(CSV!$A:$A,$H$2+26)*1))</f>
        <v/>
      </c>
      <c r="J27">
        <f>IF($H$2="",NA(),IF(INDEX(CSV!$B:$B,$H$2+26)="",NA(),INDEX(CSV!$B:$B,$H$2+26)*1))</f>
        <v/>
      </c>
    </row>
    <row r="28">
      <c r="A28" s="2" t="inlineStr">
        <is>
          <t>La gráfica se arma sola al importar tu CSV. Cambia su título por tu nombre (doble clic en el título); la leyenda ya lo toma de B1.</t>
        </is>
      </c>
      <c r="I28">
        <f>IF($H$2="",NA(),IF(INDEX(CSV!$A:$A,$H$2+27)="",NA(),INDEX(CSV!$A:$A,$H$2+27)*1))</f>
        <v/>
      </c>
      <c r="J28">
        <f>IF($H$2="",NA(),IF(INDEX(CSV!$B:$B,$H$2+27)="",NA(),INDEX(CSV!$B:$B,$H$2+27)*1))</f>
        <v/>
      </c>
    </row>
    <row r="29">
      <c r="I29">
        <f>IF($H$2="",NA(),IF(INDEX(CSV!$A:$A,$H$2+28)="",NA(),INDEX(CSV!$A:$A,$H$2+28)*1))</f>
        <v/>
      </c>
      <c r="J29">
        <f>IF($H$2="",NA(),IF(INDEX(CSV!$B:$B,$H$2+28)="",NA(),INDEX(CSV!$B:$B,$H$2+28)*1))</f>
        <v/>
      </c>
    </row>
    <row r="30">
      <c r="I30">
        <f>IF($H$2="",NA(),IF(INDEX(CSV!$A:$A,$H$2+29)="",NA(),INDEX(CSV!$A:$A,$H$2+29)*1))</f>
        <v/>
      </c>
      <c r="J30">
        <f>IF($H$2="",NA(),IF(INDEX(CSV!$B:$B,$H$2+29)="",NA(),INDEX(CSV!$B:$B,$H$2+29)*1))</f>
        <v/>
      </c>
    </row>
    <row r="31">
      <c r="I31">
        <f>IF($H$2="",NA(),IF(INDEX(CSV!$A:$A,$H$2+30)="",NA(),INDEX(CSV!$A:$A,$H$2+30)*1))</f>
        <v/>
      </c>
      <c r="J31">
        <f>IF($H$2="",NA(),IF(INDEX(CSV!$B:$B,$H$2+30)="",NA(),INDEX(CSV!$B:$B,$H$2+30)*1))</f>
        <v/>
      </c>
    </row>
    <row r="32">
      <c r="I32">
        <f>IF($H$2="",NA(),IF(INDEX(CSV!$A:$A,$H$2+31)="",NA(),INDEX(CSV!$A:$A,$H$2+31)*1))</f>
        <v/>
      </c>
      <c r="J32">
        <f>IF($H$2="",NA(),IF(INDEX(CSV!$B:$B,$H$2+31)="",NA(),INDEX(CSV!$B:$B,$H$2+31)*1))</f>
        <v/>
      </c>
    </row>
    <row r="33">
      <c r="I33">
        <f>IF($H$2="",NA(),IF(INDEX(CSV!$A:$A,$H$2+32)="",NA(),INDEX(CSV!$A:$A,$H$2+32)*1))</f>
        <v/>
      </c>
      <c r="J33">
        <f>IF($H$2="",NA(),IF(INDEX(CSV!$B:$B,$H$2+32)="",NA(),INDEX(CSV!$B:$B,$H$2+32)*1))</f>
        <v/>
      </c>
    </row>
    <row r="34">
      <c r="I34">
        <f>IF($H$2="",NA(),IF(INDEX(CSV!$A:$A,$H$2+33)="",NA(),INDEX(CSV!$A:$A,$H$2+33)*1))</f>
        <v/>
      </c>
      <c r="J34">
        <f>IF($H$2="",NA(),IF(INDEX(CSV!$B:$B,$H$2+33)="",NA(),INDEX(CSV!$B:$B,$H$2+33)*1))</f>
        <v/>
      </c>
    </row>
    <row r="35">
      <c r="I35">
        <f>IF($H$2="",NA(),IF(INDEX(CSV!$A:$A,$H$2+34)="",NA(),INDEX(CSV!$A:$A,$H$2+34)*1))</f>
        <v/>
      </c>
      <c r="J35">
        <f>IF($H$2="",NA(),IF(INDEX(CSV!$B:$B,$H$2+34)="",NA(),INDEX(CSV!$B:$B,$H$2+34)*1))</f>
        <v/>
      </c>
    </row>
    <row r="36">
      <c r="I36">
        <f>IF($H$2="",NA(),IF(INDEX(CSV!$A:$A,$H$2+35)="",NA(),INDEX(CSV!$A:$A,$H$2+35)*1))</f>
        <v/>
      </c>
      <c r="J36">
        <f>IF($H$2="",NA(),IF(INDEX(CSV!$B:$B,$H$2+35)="",NA(),INDEX(CSV!$B:$B,$H$2+35)*1))</f>
        <v/>
      </c>
    </row>
    <row r="37">
      <c r="I37">
        <f>IF($H$2="",NA(),IF(INDEX(CSV!$A:$A,$H$2+36)="",NA(),INDEX(CSV!$A:$A,$H$2+36)*1))</f>
        <v/>
      </c>
      <c r="J37">
        <f>IF($H$2="",NA(),IF(INDEX(CSV!$B:$B,$H$2+36)="",NA(),INDEX(CSV!$B:$B,$H$2+36)*1))</f>
        <v/>
      </c>
    </row>
    <row r="38">
      <c r="I38">
        <f>IF($H$2="",NA(),IF(INDEX(CSV!$A:$A,$H$2+37)="",NA(),INDEX(CSV!$A:$A,$H$2+37)*1))</f>
        <v/>
      </c>
      <c r="J38">
        <f>IF($H$2="",NA(),IF(INDEX(CSV!$B:$B,$H$2+37)="",NA(),INDEX(CSV!$B:$B,$H$2+37)*1))</f>
        <v/>
      </c>
    </row>
    <row r="39">
      <c r="I39">
        <f>IF($H$2="",NA(),IF(INDEX(CSV!$A:$A,$H$2+38)="",NA(),INDEX(CSV!$A:$A,$H$2+38)*1))</f>
        <v/>
      </c>
      <c r="J39">
        <f>IF($H$2="",NA(),IF(INDEX(CSV!$B:$B,$H$2+38)="",NA(),INDEX(CSV!$B:$B,$H$2+38)*1))</f>
        <v/>
      </c>
    </row>
    <row r="40">
      <c r="I40">
        <f>IF($H$2="",NA(),IF(INDEX(CSV!$A:$A,$H$2+39)="",NA(),INDEX(CSV!$A:$A,$H$2+39)*1))</f>
        <v/>
      </c>
      <c r="J40">
        <f>IF($H$2="",NA(),IF(INDEX(CSV!$B:$B,$H$2+39)="",NA(),INDEX(CSV!$B:$B,$H$2+39)*1))</f>
        <v/>
      </c>
    </row>
    <row r="41">
      <c r="I41">
        <f>IF($H$2="",NA(),IF(INDEX(CSV!$A:$A,$H$2+40)="",NA(),INDEX(CSV!$A:$A,$H$2+40)*1))</f>
        <v/>
      </c>
      <c r="J41">
        <f>IF($H$2="",NA(),IF(INDEX(CSV!$B:$B,$H$2+40)="",NA(),INDEX(CSV!$B:$B,$H$2+40)*1))</f>
        <v/>
      </c>
    </row>
    <row r="42">
      <c r="I42">
        <f>IF($H$2="",NA(),IF(INDEX(CSV!$A:$A,$H$2+41)="",NA(),INDEX(CSV!$A:$A,$H$2+41)*1))</f>
        <v/>
      </c>
      <c r="J42">
        <f>IF($H$2="",NA(),IF(INDEX(CSV!$B:$B,$H$2+41)="",NA(),INDEX(CSV!$B:$B,$H$2+41)*1))</f>
        <v/>
      </c>
    </row>
    <row r="43">
      <c r="I43">
        <f>IF($H$2="",NA(),IF(INDEX(CSV!$A:$A,$H$2+42)="",NA(),INDEX(CSV!$A:$A,$H$2+42)*1))</f>
        <v/>
      </c>
      <c r="J43">
        <f>IF($H$2="",NA(),IF(INDEX(CSV!$B:$B,$H$2+42)="",NA(),INDEX(CSV!$B:$B,$H$2+42)*1))</f>
        <v/>
      </c>
    </row>
    <row r="44">
      <c r="I44">
        <f>IF($H$2="",NA(),IF(INDEX(CSV!$A:$A,$H$2+43)="",NA(),INDEX(CSV!$A:$A,$H$2+43)*1))</f>
        <v/>
      </c>
      <c r="J44">
        <f>IF($H$2="",NA(),IF(INDEX(CSV!$B:$B,$H$2+43)="",NA(),INDEX(CSV!$B:$B,$H$2+43)*1))</f>
        <v/>
      </c>
    </row>
    <row r="45">
      <c r="I45">
        <f>IF($H$2="",NA(),IF(INDEX(CSV!$A:$A,$H$2+44)="",NA(),INDEX(CSV!$A:$A,$H$2+44)*1))</f>
        <v/>
      </c>
      <c r="J45">
        <f>IF($H$2="",NA(),IF(INDEX(CSV!$B:$B,$H$2+44)="",NA(),INDEX(CSV!$B:$B,$H$2+44)*1))</f>
        <v/>
      </c>
    </row>
    <row r="46">
      <c r="I46">
        <f>IF($H$2="",NA(),IF(INDEX(CSV!$A:$A,$H$2+45)="",NA(),INDEX(CSV!$A:$A,$H$2+45)*1))</f>
        <v/>
      </c>
      <c r="J46">
        <f>IF($H$2="",NA(),IF(INDEX(CSV!$B:$B,$H$2+45)="",NA(),INDEX(CSV!$B:$B,$H$2+45)*1))</f>
        <v/>
      </c>
    </row>
    <row r="47">
      <c r="I47">
        <f>IF($H$2="",NA(),IF(INDEX(CSV!$A:$A,$H$2+46)="",NA(),INDEX(CSV!$A:$A,$H$2+46)*1))</f>
        <v/>
      </c>
      <c r="J47">
        <f>IF($H$2="",NA(),IF(INDEX(CSV!$B:$B,$H$2+46)="",NA(),INDEX(CSV!$B:$B,$H$2+46)*1))</f>
        <v/>
      </c>
    </row>
    <row r="48">
      <c r="I48">
        <f>IF($H$2="",NA(),IF(INDEX(CSV!$A:$A,$H$2+47)="",NA(),INDEX(CSV!$A:$A,$H$2+47)*1))</f>
        <v/>
      </c>
      <c r="J48">
        <f>IF($H$2="",NA(),IF(INDEX(CSV!$B:$B,$H$2+47)="",NA(),INDEX(CSV!$B:$B,$H$2+47)*1))</f>
        <v/>
      </c>
    </row>
    <row r="49">
      <c r="I49">
        <f>IF($H$2="",NA(),IF(INDEX(CSV!$A:$A,$H$2+48)="",NA(),INDEX(CSV!$A:$A,$H$2+48)*1))</f>
        <v/>
      </c>
      <c r="J49">
        <f>IF($H$2="",NA(),IF(INDEX(CSV!$B:$B,$H$2+48)="",NA(),INDEX(CSV!$B:$B,$H$2+48)*1))</f>
        <v/>
      </c>
    </row>
    <row r="50">
      <c r="I50">
        <f>IF($H$2="",NA(),IF(INDEX(CSV!$A:$A,$H$2+49)="",NA(),INDEX(CSV!$A:$A,$H$2+49)*1))</f>
        <v/>
      </c>
      <c r="J50">
        <f>IF($H$2="",NA(),IF(INDEX(CSV!$B:$B,$H$2+49)="",NA(),INDEX(CSV!$B:$B,$H$2+49)*1))</f>
        <v/>
      </c>
    </row>
    <row r="51">
      <c r="I51">
        <f>IF($H$2="",NA(),IF(INDEX(CSV!$A:$A,$H$2+50)="",NA(),INDEX(CSV!$A:$A,$H$2+50)*1))</f>
        <v/>
      </c>
      <c r="J51">
        <f>IF($H$2="",NA(),IF(INDEX(CSV!$B:$B,$H$2+50)="",NA(),INDEX(CSV!$B:$B,$H$2+50)*1))</f>
        <v/>
      </c>
    </row>
    <row r="52">
      <c r="I52">
        <f>IF($H$2="",NA(),IF(INDEX(CSV!$A:$A,$H$2+51)="",NA(),INDEX(CSV!$A:$A,$H$2+51)*1))</f>
        <v/>
      </c>
      <c r="J52">
        <f>IF($H$2="",NA(),IF(INDEX(CSV!$B:$B,$H$2+51)="",NA(),INDEX(CSV!$B:$B,$H$2+51)*1))</f>
        <v/>
      </c>
    </row>
    <row r="53">
      <c r="I53">
        <f>IF($H$2="",NA(),IF(INDEX(CSV!$A:$A,$H$2+52)="",NA(),INDEX(CSV!$A:$A,$H$2+52)*1))</f>
        <v/>
      </c>
      <c r="J53">
        <f>IF($H$2="",NA(),IF(INDEX(CSV!$B:$B,$H$2+52)="",NA(),INDEX(CSV!$B:$B,$H$2+52)*1))</f>
        <v/>
      </c>
    </row>
    <row r="54">
      <c r="I54">
        <f>IF($H$2="",NA(),IF(INDEX(CSV!$A:$A,$H$2+53)="",NA(),INDEX(CSV!$A:$A,$H$2+53)*1))</f>
        <v/>
      </c>
      <c r="J54">
        <f>IF($H$2="",NA(),IF(INDEX(CSV!$B:$B,$H$2+53)="",NA(),INDEX(CSV!$B:$B,$H$2+53)*1))</f>
        <v/>
      </c>
    </row>
    <row r="55">
      <c r="I55">
        <f>IF($H$2="",NA(),IF(INDEX(CSV!$A:$A,$H$2+54)="",NA(),INDEX(CSV!$A:$A,$H$2+54)*1))</f>
        <v/>
      </c>
      <c r="J55">
        <f>IF($H$2="",NA(),IF(INDEX(CSV!$B:$B,$H$2+54)="",NA(),INDEX(CSV!$B:$B,$H$2+54)*1))</f>
        <v/>
      </c>
    </row>
    <row r="56">
      <c r="I56">
        <f>IF($H$2="",NA(),IF(INDEX(CSV!$A:$A,$H$2+55)="",NA(),INDEX(CSV!$A:$A,$H$2+55)*1))</f>
        <v/>
      </c>
      <c r="J56">
        <f>IF($H$2="",NA(),IF(INDEX(CSV!$B:$B,$H$2+55)="",NA(),INDEX(CSV!$B:$B,$H$2+55)*1))</f>
        <v/>
      </c>
    </row>
    <row r="57">
      <c r="I57">
        <f>IF($H$2="",NA(),IF(INDEX(CSV!$A:$A,$H$2+56)="",NA(),INDEX(CSV!$A:$A,$H$2+56)*1))</f>
        <v/>
      </c>
      <c r="J57">
        <f>IF($H$2="",NA(),IF(INDEX(CSV!$B:$B,$H$2+56)="",NA(),INDEX(CSV!$B:$B,$H$2+56)*1))</f>
        <v/>
      </c>
    </row>
    <row r="58">
      <c r="I58">
        <f>IF($H$2="",NA(),IF(INDEX(CSV!$A:$A,$H$2+57)="",NA(),INDEX(CSV!$A:$A,$H$2+57)*1))</f>
        <v/>
      </c>
      <c r="J58">
        <f>IF($H$2="",NA(),IF(INDEX(CSV!$B:$B,$H$2+57)="",NA(),INDEX(CSV!$B:$B,$H$2+57)*1))</f>
        <v/>
      </c>
    </row>
    <row r="59">
      <c r="I59">
        <f>IF($H$2="",NA(),IF(INDEX(CSV!$A:$A,$H$2+58)="",NA(),INDEX(CSV!$A:$A,$H$2+58)*1))</f>
        <v/>
      </c>
      <c r="J59">
        <f>IF($H$2="",NA(),IF(INDEX(CSV!$B:$B,$H$2+58)="",NA(),INDEX(CSV!$B:$B,$H$2+58)*1))</f>
        <v/>
      </c>
    </row>
    <row r="60">
      <c r="I60">
        <f>IF($H$2="",NA(),IF(INDEX(CSV!$A:$A,$H$2+59)="",NA(),INDEX(CSV!$A:$A,$H$2+59)*1))</f>
        <v/>
      </c>
      <c r="J60">
        <f>IF($H$2="",NA(),IF(INDEX(CSV!$B:$B,$H$2+59)="",NA(),INDEX(CSV!$B:$B,$H$2+59)*1))</f>
        <v/>
      </c>
    </row>
    <row r="61">
      <c r="I61">
        <f>IF($H$2="",NA(),IF(INDEX(CSV!$A:$A,$H$2+60)="",NA(),INDEX(CSV!$A:$A,$H$2+60)*1))</f>
        <v/>
      </c>
      <c r="J61">
        <f>IF($H$2="",NA(),IF(INDEX(CSV!$B:$B,$H$2+60)="",NA(),INDEX(CSV!$B:$B,$H$2+60)*1))</f>
        <v/>
      </c>
    </row>
    <row r="62">
      <c r="I62">
        <f>IF($H$2="",NA(),IF(INDEX(CSV!$A:$A,$H$2+61)="",NA(),INDEX(CSV!$A:$A,$H$2+61)*1))</f>
        <v/>
      </c>
      <c r="J62">
        <f>IF($H$2="",NA(),IF(INDEX(CSV!$B:$B,$H$2+61)="",NA(),INDEX(CSV!$B:$B,$H$2+61)*1))</f>
        <v/>
      </c>
    </row>
    <row r="63">
      <c r="I63">
        <f>IF($H$2="",NA(),IF(INDEX(CSV!$A:$A,$H$2+62)="",NA(),INDEX(CSV!$A:$A,$H$2+62)*1))</f>
        <v/>
      </c>
      <c r="J63">
        <f>IF($H$2="",NA(),IF(INDEX(CSV!$B:$B,$H$2+62)="",NA(),INDEX(CSV!$B:$B,$H$2+62)*1))</f>
        <v/>
      </c>
    </row>
    <row r="64">
      <c r="I64">
        <f>IF($H$2="",NA(),IF(INDEX(CSV!$A:$A,$H$2+63)="",NA(),INDEX(CSV!$A:$A,$H$2+63)*1))</f>
        <v/>
      </c>
      <c r="J64">
        <f>IF($H$2="",NA(),IF(INDEX(CSV!$B:$B,$H$2+63)="",NA(),INDEX(CSV!$B:$B,$H$2+63)*1))</f>
        <v/>
      </c>
    </row>
    <row r="65">
      <c r="I65">
        <f>IF($H$2="",NA(),IF(INDEX(CSV!$A:$A,$H$2+64)="",NA(),INDEX(CSV!$A:$A,$H$2+64)*1))</f>
        <v/>
      </c>
      <c r="J65">
        <f>IF($H$2="",NA(),IF(INDEX(CSV!$B:$B,$H$2+64)="",NA(),INDEX(CSV!$B:$B,$H$2+64)*1))</f>
        <v/>
      </c>
    </row>
    <row r="66">
      <c r="I66">
        <f>IF($H$2="",NA(),IF(INDEX(CSV!$A:$A,$H$2+65)="",NA(),INDEX(CSV!$A:$A,$H$2+65)*1))</f>
        <v/>
      </c>
      <c r="J66">
        <f>IF($H$2="",NA(),IF(INDEX(CSV!$B:$B,$H$2+65)="",NA(),INDEX(CSV!$B:$B,$H$2+65)*1))</f>
        <v/>
      </c>
    </row>
    <row r="67">
      <c r="I67">
        <f>IF($H$2="",NA(),IF(INDEX(CSV!$A:$A,$H$2+66)="",NA(),INDEX(CSV!$A:$A,$H$2+66)*1))</f>
        <v/>
      </c>
      <c r="J67">
        <f>IF($H$2="",NA(),IF(INDEX(CSV!$B:$B,$H$2+66)="",NA(),INDEX(CSV!$B:$B,$H$2+66)*1))</f>
        <v/>
      </c>
    </row>
    <row r="68">
      <c r="I68">
        <f>IF($H$2="",NA(),IF(INDEX(CSV!$A:$A,$H$2+67)="",NA(),INDEX(CSV!$A:$A,$H$2+67)*1))</f>
        <v/>
      </c>
      <c r="J68">
        <f>IF($H$2="",NA(),IF(INDEX(CSV!$B:$B,$H$2+67)="",NA(),INDEX(CSV!$B:$B,$H$2+67)*1))</f>
        <v/>
      </c>
    </row>
    <row r="69">
      <c r="I69">
        <f>IF($H$2="",NA(),IF(INDEX(CSV!$A:$A,$H$2+68)="",NA(),INDEX(CSV!$A:$A,$H$2+68)*1))</f>
        <v/>
      </c>
      <c r="J69">
        <f>IF($H$2="",NA(),IF(INDEX(CSV!$B:$B,$H$2+68)="",NA(),INDEX(CSV!$B:$B,$H$2+68)*1))</f>
        <v/>
      </c>
    </row>
    <row r="70">
      <c r="I70">
        <f>IF($H$2="",NA(),IF(INDEX(CSV!$A:$A,$H$2+69)="",NA(),INDEX(CSV!$A:$A,$H$2+69)*1))</f>
        <v/>
      </c>
      <c r="J70">
        <f>IF($H$2="",NA(),IF(INDEX(CSV!$B:$B,$H$2+69)="",NA(),INDEX(CSV!$B:$B,$H$2+69)*1))</f>
        <v/>
      </c>
    </row>
    <row r="71">
      <c r="I71">
        <f>IF($H$2="",NA(),IF(INDEX(CSV!$A:$A,$H$2+70)="",NA(),INDEX(CSV!$A:$A,$H$2+70)*1))</f>
        <v/>
      </c>
      <c r="J71">
        <f>IF($H$2="",NA(),IF(INDEX(CSV!$B:$B,$H$2+70)="",NA(),INDEX(CSV!$B:$B,$H$2+70)*1))</f>
        <v/>
      </c>
    </row>
    <row r="72">
      <c r="I72">
        <f>IF($H$2="",NA(),IF(INDEX(CSV!$A:$A,$H$2+71)="",NA(),INDEX(CSV!$A:$A,$H$2+71)*1))</f>
        <v/>
      </c>
      <c r="J72">
        <f>IF($H$2="",NA(),IF(INDEX(CSV!$B:$B,$H$2+71)="",NA(),INDEX(CSV!$B:$B,$H$2+71)*1))</f>
        <v/>
      </c>
    </row>
    <row r="73">
      <c r="I73">
        <f>IF($H$2="",NA(),IF(INDEX(CSV!$A:$A,$H$2+72)="",NA(),INDEX(CSV!$A:$A,$H$2+72)*1))</f>
        <v/>
      </c>
      <c r="J73">
        <f>IF($H$2="",NA(),IF(INDEX(CSV!$B:$B,$H$2+72)="",NA(),INDEX(CSV!$B:$B,$H$2+72)*1))</f>
        <v/>
      </c>
    </row>
    <row r="74">
      <c r="I74">
        <f>IF($H$2="",NA(),IF(INDEX(CSV!$A:$A,$H$2+73)="",NA(),INDEX(CSV!$A:$A,$H$2+73)*1))</f>
        <v/>
      </c>
      <c r="J74">
        <f>IF($H$2="",NA(),IF(INDEX(CSV!$B:$B,$H$2+73)="",NA(),INDEX(CSV!$B:$B,$H$2+73)*1))</f>
        <v/>
      </c>
    </row>
    <row r="75">
      <c r="I75">
        <f>IF($H$2="",NA(),IF(INDEX(CSV!$A:$A,$H$2+74)="",NA(),INDEX(CSV!$A:$A,$H$2+74)*1))</f>
        <v/>
      </c>
      <c r="J75">
        <f>IF($H$2="",NA(),IF(INDEX(CSV!$B:$B,$H$2+74)="",NA(),INDEX(CSV!$B:$B,$H$2+74)*1))</f>
        <v/>
      </c>
    </row>
    <row r="76">
      <c r="I76">
        <f>IF($H$2="",NA(),IF(INDEX(CSV!$A:$A,$H$2+75)="",NA(),INDEX(CSV!$A:$A,$H$2+75)*1))</f>
        <v/>
      </c>
      <c r="J76">
        <f>IF($H$2="",NA(),IF(INDEX(CSV!$B:$B,$H$2+75)="",NA(),INDEX(CSV!$B:$B,$H$2+75)*1))</f>
        <v/>
      </c>
    </row>
    <row r="77">
      <c r="I77">
        <f>IF($H$2="",NA(),IF(INDEX(CSV!$A:$A,$H$2+76)="",NA(),INDEX(CSV!$A:$A,$H$2+76)*1))</f>
        <v/>
      </c>
      <c r="J77">
        <f>IF($H$2="",NA(),IF(INDEX(CSV!$B:$B,$H$2+76)="",NA(),INDEX(CSV!$B:$B,$H$2+76)*1))</f>
        <v/>
      </c>
    </row>
    <row r="78">
      <c r="I78">
        <f>IF($H$2="",NA(),IF(INDEX(CSV!$A:$A,$H$2+77)="",NA(),INDEX(CSV!$A:$A,$H$2+77)*1))</f>
        <v/>
      </c>
      <c r="J78">
        <f>IF($H$2="",NA(),IF(INDEX(CSV!$B:$B,$H$2+77)="",NA(),INDEX(CSV!$B:$B,$H$2+77)*1))</f>
        <v/>
      </c>
    </row>
    <row r="79">
      <c r="I79">
        <f>IF($H$2="",NA(),IF(INDEX(CSV!$A:$A,$H$2+78)="",NA(),INDEX(CSV!$A:$A,$H$2+78)*1))</f>
        <v/>
      </c>
      <c r="J79">
        <f>IF($H$2="",NA(),IF(INDEX(CSV!$B:$B,$H$2+78)="",NA(),INDEX(CSV!$B:$B,$H$2+78)*1))</f>
        <v/>
      </c>
    </row>
    <row r="80">
      <c r="I80">
        <f>IF($H$2="",NA(),IF(INDEX(CSV!$A:$A,$H$2+79)="",NA(),INDEX(CSV!$A:$A,$H$2+79)*1))</f>
        <v/>
      </c>
      <c r="J80">
        <f>IF($H$2="",NA(),IF(INDEX(CSV!$B:$B,$H$2+79)="",NA(),INDEX(CSV!$B:$B,$H$2+79)*1))</f>
        <v/>
      </c>
    </row>
    <row r="81">
      <c r="I81">
        <f>IF($H$2="",NA(),IF(INDEX(CSV!$A:$A,$H$2+80)="",NA(),INDEX(CSV!$A:$A,$H$2+80)*1))</f>
        <v/>
      </c>
      <c r="J81">
        <f>IF($H$2="",NA(),IF(INDEX(CSV!$B:$B,$H$2+80)="",NA(),INDEX(CSV!$B:$B,$H$2+80)*1))</f>
        <v/>
      </c>
    </row>
  </sheetData>
  <mergeCells count="2">
    <mergeCell ref="B26:G26"/>
    <mergeCell ref="B25:G25"/>
  </mergeCells>
  <conditionalFormatting sqref="B4">
    <cfRule type="expression" priority="1" dxfId="0">
      <formula>B4="NO COINCIDE"</formula>
    </cfRule>
    <cfRule type="expression" priority="2" dxfId="1">
      <formula>B4="OK"</formula>
    </cfRule>
  </conditionalFormatting>
  <conditionalFormatting sqref="B7">
    <cfRule type="expression" priority="3" dxfId="0">
      <formula>ISNUMBER(SEARCH("SINT",B7))</formula>
    </cfRule>
  </conditionalFormatting>
  <conditionalFormatting sqref="I2:J81">
    <cfRule type="expression" priority="4" dxfId="2">
      <formula>ISNA(I2)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Importa aquí tu CSV: Archivo → Importar → Subir → Reemplazar la hoja 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2026-10-25T02:48:55Z</dcterms:created>
  <dcterms:modified xmlns:dcterms="http://purl.org/dc/terms/" xmlns:xsi="http://www.w3.org/2001/XMLSchema-instance" xsi:type="dcterms:W3CDTF">2026-10-25T02:48:55Z</dcterms:modified>
</cp:coreProperties>
</file>