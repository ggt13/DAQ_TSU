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Temperatura real y reconstruida desde las cuentas · (tu nombre)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'Resultados'!$I$2:$I$169</f>
            </numRef>
          </cat>
          <val>
            <numRef>
              <f>'Resultados'!$J$2:$J$169</f>
            </numRef>
          </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'Resultados'!$I$2:$I$169</f>
            </numRef>
          </cat>
          <val>
            <numRef>
              <f>'Resultados'!$K$2:$K$169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Temperatura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  <col width="24" customWidth="1" min="11" max="11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Hora</t>
        </is>
      </c>
      <c r="J1" s="3">
        <f>"Real · "&amp;$B$1</f>
        <v/>
      </c>
      <c r="K1" s="3">
        <f>"Reconstruida · "&amp;$B$1</f>
        <v/>
      </c>
    </row>
    <row r="2">
      <c r="A2" t="inlineStr">
        <is>
          <t>Código de alumno ✎</t>
        </is>
      </c>
      <c r="B2" s="1" t="n"/>
      <c r="H2">
        <f>IFERROR(MATCH("hora",CSV!$A:$A,0),"")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  <c r="K2">
        <f>IF($H$2="",NA(),IF(INDEX(CSV!$D:$D,$H$2+1)="",NA(),INDEX(CSV!$D:$D,$H$2+1)*1))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  <c r="K3">
        <f>IF($H$2="",NA(),IF(INDEX(CSV!$D:$D,$H$2+2)="",NA(),INDEX(CSV!$D:$D,$H$2+2)*1))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  <c r="K4">
        <f>IF($H$2="",NA(),IF(INDEX(CSV!$D:$D,$H$2+3)="",NA(),INDEX(CSV!$D:$D,$H$2+3)*1))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  <c r="K5">
        <f>IF($H$2="",NA(),IF(INDEX(CSV!$D:$D,$H$2+4)="",NA(),INDEX(CSV!$D:$D,$H$2+4)*1))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  <c r="K6">
        <f>IF($H$2="",NA(),IF(INDEX(CSV!$D:$D,$H$2+5)="",NA(),INDEX(CSV!$D:$D,$H$2+5)*1))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  <c r="K7">
        <f>IF($H$2="",NA(),IF(INDEX(CSV!$D:$D,$H$2+6)="",NA(),INDEX(CSV!$D:$D,$H$2+6)*1))</f>
        <v/>
      </c>
    </row>
    <row r="8">
      <c r="A8" t="inlineStr">
        <is>
          <t>Semana</t>
        </is>
      </c>
      <c r="B8">
        <f>IFERROR(VLOOKUP("semana",CSV!$A:$B,2,FALSE),"")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  <c r="K8">
        <f>IF($H$2="",NA(),IF(INDEX(CSV!$D:$D,$H$2+7)="",NA(),INDEX(CSV!$D:$D,$H$2+7)*1))</f>
        <v/>
      </c>
    </row>
    <row r="9">
      <c r="A9" t="inlineStr">
        <is>
          <t>Tu resistencia fija (Ω)</t>
        </is>
      </c>
      <c r="B9">
        <f>IFERROR(VLOOKUP("rf_ohm",CSV!$A:$B,2,FALSE),"")</f>
        <v/>
      </c>
      <c r="I9">
        <f>IF($H$2="",NA(),IF(INDEX(CSV!$A:$A,$H$2+8)="",NA(),INDEX(CSV!$A:$A,$H$2+8)*1))</f>
        <v/>
      </c>
      <c r="J9">
        <f>IF($H$2="",NA(),IF(INDEX(CSV!$B:$B,$H$2+8)="",NA(),INDEX(CSV!$B:$B,$H$2+8)*1))</f>
        <v/>
      </c>
      <c r="K9">
        <f>IF($H$2="",NA(),IF(INDEX(CSV!$D:$D,$H$2+8)="",NA(),INDEX(CSV!$D:$D,$H$2+8)*1))</f>
        <v/>
      </c>
    </row>
    <row r="10">
      <c r="I10">
        <f>IF($H$2="",NA(),IF(INDEX(CSV!$A:$A,$H$2+9)="",NA(),INDEX(CSV!$A:$A,$H$2+9)*1))</f>
        <v/>
      </c>
      <c r="J10">
        <f>IF($H$2="",NA(),IF(INDEX(CSV!$B:$B,$H$2+9)="",NA(),INDEX(CSV!$B:$B,$H$2+9)*1))</f>
        <v/>
      </c>
      <c r="K10">
        <f>IF($H$2="",NA(),IF(INDEX(CSV!$D:$D,$H$2+9)="",NA(),INDEX(CSV!$D:$D,$H$2+9)*1))</f>
        <v/>
      </c>
    </row>
    <row r="11">
      <c r="A11" s="3" t="inlineStr">
        <is>
          <t>Tus resultados</t>
        </is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  <c r="K11">
        <f>IF($H$2="",NA(),IF(INDEX(CSV!$D:$D,$H$2+10)="",NA(),INDEX(CSV!$D:$D,$H$2+10)*1))</f>
        <v/>
      </c>
    </row>
    <row r="12">
      <c r="A12" t="inlineStr">
        <is>
          <t>★ Resistencia del termistor a tu temperatura (Ω)</t>
        </is>
      </c>
      <c r="B12" s="4">
        <f>IFERROR(VLOOKUP("resultado:R_T",CSV!$A:$B,2,FALSE),"")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  <c r="K12">
        <f>IF($H$2="",NA(),IF(INDEX(CSV!$D:$D,$H$2+11)="",NA(),INDEX(CSV!$D:$D,$H$2+11)*1))</f>
        <v/>
      </c>
    </row>
    <row r="13">
      <c r="A13" t="inlineStr">
        <is>
          <t>Voltaje del divisor (V)</t>
        </is>
      </c>
      <c r="B13" s="5">
        <f>IFERROR(VLOOKUP("resultado:V_T",CSV!$A:$B,2,FALSE),"")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  <c r="K13">
        <f>IF($H$2="",NA(),IF(INDEX(CSV!$D:$D,$H$2+12)="",NA(),INDEX(CSV!$D:$D,$H$2+12)*1))</f>
        <v/>
      </c>
    </row>
    <row r="14">
      <c r="A14" t="inlineStr">
        <is>
          <t>Cuenta del convertidor</t>
        </is>
      </c>
      <c r="B14" s="6">
        <f>IFERROR(VLOOKUP("resultado:N_T",CSV!$A:$B,2,FALSE),"")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  <c r="K14">
        <f>IF($H$2="",NA(),IF(INDEX(CSV!$D:$D,$H$2+13)="",NA(),INDEX(CSV!$D:$D,$H$2+13)*1))</f>
        <v/>
      </c>
    </row>
    <row r="15">
      <c r="A15" t="inlineStr">
        <is>
          <t>Datos por día con tu intervalo (kB)</t>
        </is>
      </c>
      <c r="B15" s="7">
        <f>IFERROR(VLOOKUP("resultado:kB_dia",CSV!$A:$B,2,FALSE),"")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  <c r="K15">
        <f>IF($H$2="",NA(),IF(INDEX(CSV!$D:$D,$H$2+14)="",NA(),INDEX(CSV!$D:$D,$H$2+14)*1))</f>
        <v/>
      </c>
    </row>
    <row r="16">
      <c r="A16" t="inlineStr">
        <is>
          <t>Error máximo predicho al guardar cuentas (°C)</t>
        </is>
      </c>
      <c r="B16" s="5">
        <f>IFERROR(VLOOKUP("resultado:resol_pred_C",CSV!$A:$B,2,FALSE),"")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  <c r="K16">
        <f>IF($H$2="",NA(),IF(INDEX(CSV!$D:$D,$H$2+15)="",NA(),INDEX(CSV!$D:$D,$H$2+15)*1))</f>
        <v/>
      </c>
    </row>
    <row r="17">
      <c r="A17" t="inlineStr">
        <is>
          <t>Error máximo obtenido en la semana (°C)</t>
        </is>
      </c>
      <c r="B17" s="5">
        <f>IFERROR(VLOOKUP("resultado:error_obt_C",CSV!$A:$B,2,FALSE),"")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  <c r="K17">
        <f>IF($H$2="",NA(),IF(INDEX(CSV!$D:$D,$H$2+16)="",NA(),INDEX(CSV!$D:$D,$H$2+16)*1))</f>
        <v/>
      </c>
    </row>
    <row r="18"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  <c r="K18">
        <f>IF($H$2="",NA(),IF(INDEX(CSV!$D:$D,$H$2+17)="",NA(),INDEX(CSV!$D:$D,$H$2+17)*1))</f>
        <v/>
      </c>
    </row>
    <row r="19">
      <c r="A19" s="3" t="inlineStr">
        <is>
          <t>Predicho contra obtenido</t>
        </is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  <c r="K19">
        <f>IF($H$2="",NA(),IF(INDEX(CSV!$D:$D,$H$2+18)="",NA(),INDEX(CSV!$D:$D,$H$2+18)*1))</f>
        <v/>
      </c>
    </row>
    <row r="20">
      <c r="A20" t="inlineStr">
        <is>
          <t>Diferencia, obtenido contra predicho (%)</t>
        </is>
      </c>
      <c r="B20" s="4">
        <f>IF(OR(B16="",B17=""),"",(B17-B16)/B16*100)</f>
        <v/>
      </c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  <c r="K20">
        <f>IF($H$2="",NA(),IF(INDEX(CSV!$D:$D,$H$2+19)="",NA(),INDEX(CSV!$D:$D,$H$2+19)*1))</f>
        <v/>
      </c>
    </row>
    <row r="21"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  <c r="K21">
        <f>IF($H$2="",NA(),IF(INDEX(CSV!$D:$D,$H$2+20)="",NA(),INDEX(CSV!$D:$D,$H$2+20)*1))</f>
        <v/>
      </c>
    </row>
    <row r="22">
      <c r="A22" s="3" t="inlineStr">
        <is>
          <t>Preguntas del reporte ✎</t>
        </is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  <c r="K22">
        <f>IF($H$2="",NA(),IF(INDEX(CSV!$D:$D,$H$2+21)="",NA(),INDEX(CSV!$D:$D,$H$2+21)*1))</f>
        <v/>
      </c>
    </row>
    <row r="23" ht="75" customHeight="1">
      <c r="A23" s="8" t="inlineStr">
        <is>
          <t>1. Sigue un dato de tu semana por toda la cadena: temperatura, resistencia, voltaje, cuenta y temperatura reconstruida. Usa tus números.</t>
        </is>
      </c>
      <c r="B23" s="9" t="n"/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  <c r="K23">
        <f>IF($H$2="",NA(),IF(INDEX(CSV!$D:$D,$H$2+22)="",NA(),INDEX(CSV!$D:$D,$H$2+22)*1))</f>
        <v/>
      </c>
    </row>
    <row r="24" ht="75" customHeight="1">
      <c r="A24" s="8" t="inlineStr">
        <is>
          <t>2. Si la planta registra 500 sensores con tu intervalo, ¿cuántos MB se acumulan en un año? ¿Qué harías con tantos datos?</t>
        </is>
      </c>
      <c r="B24" s="9" t="n"/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  <c r="K24">
        <f>IF($H$2="",NA(),IF(INDEX(CSV!$D:$D,$H$2+23)="",NA(),INDEX(CSV!$D:$D,$H$2+23)*1))</f>
        <v/>
      </c>
    </row>
    <row r="25"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  <c r="K25">
        <f>IF($H$2="",NA(),IF(INDEX(CSV!$D:$D,$H$2+24)="",NA(),INDEX(CSV!$D:$D,$H$2+24)*1))</f>
        <v/>
      </c>
    </row>
    <row r="26">
      <c r="A26" s="2" t="inlineStr">
        <is>
          <t>La gráfica se arma sola al importar tu CSV. Cambia su título por tu nombre (doble clic en el título); la leyenda ya lo toma de B1.</t>
        </is>
      </c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  <c r="K26">
        <f>IF($H$2="",NA(),IF(INDEX(CSV!$D:$D,$H$2+25)="",NA(),INDEX(CSV!$D:$D,$H$2+25)*1))</f>
        <v/>
      </c>
    </row>
    <row r="27"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  <c r="K27">
        <f>IF($H$2="",NA(),IF(INDEX(CSV!$D:$D,$H$2+26)="",NA(),INDEX(CSV!$D:$D,$H$2+26)*1))</f>
        <v/>
      </c>
    </row>
    <row r="28"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  <c r="K28">
        <f>IF($H$2="",NA(),IF(INDEX(CSV!$D:$D,$H$2+27)="",NA(),INDEX(CSV!$D:$D,$H$2+27)*1))</f>
        <v/>
      </c>
    </row>
    <row r="29"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  <c r="K29">
        <f>IF($H$2="",NA(),IF(INDEX(CSV!$D:$D,$H$2+28)="",NA(),INDEX(CSV!$D:$D,$H$2+28)*1))</f>
        <v/>
      </c>
    </row>
    <row r="30"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  <c r="K30">
        <f>IF($H$2="",NA(),IF(INDEX(CSV!$D:$D,$H$2+29)="",NA(),INDEX(CSV!$D:$D,$H$2+29)*1))</f>
        <v/>
      </c>
    </row>
    <row r="31"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  <c r="K31">
        <f>IF($H$2="",NA(),IF(INDEX(CSV!$D:$D,$H$2+30)="",NA(),INDEX(CSV!$D:$D,$H$2+30)*1))</f>
        <v/>
      </c>
    </row>
    <row r="32">
      <c r="I32">
        <f>IF($H$2="",NA(),IF(INDEX(CSV!$A:$A,$H$2+31)="",NA(),INDEX(CSV!$A:$A,$H$2+31)*1))</f>
        <v/>
      </c>
      <c r="J32">
        <f>IF($H$2="",NA(),IF(INDEX(CSV!$B:$B,$H$2+31)="",NA(),INDEX(CSV!$B:$B,$H$2+31)*1))</f>
        <v/>
      </c>
      <c r="K32">
        <f>IF($H$2="",NA(),IF(INDEX(CSV!$D:$D,$H$2+31)="",NA(),INDEX(CSV!$D:$D,$H$2+31)*1))</f>
        <v/>
      </c>
    </row>
    <row r="33">
      <c r="I33">
        <f>IF($H$2="",NA(),IF(INDEX(CSV!$A:$A,$H$2+32)="",NA(),INDEX(CSV!$A:$A,$H$2+32)*1))</f>
        <v/>
      </c>
      <c r="J33">
        <f>IF($H$2="",NA(),IF(INDEX(CSV!$B:$B,$H$2+32)="",NA(),INDEX(CSV!$B:$B,$H$2+32)*1))</f>
        <v/>
      </c>
      <c r="K33">
        <f>IF($H$2="",NA(),IF(INDEX(CSV!$D:$D,$H$2+32)="",NA(),INDEX(CSV!$D:$D,$H$2+32)*1))</f>
        <v/>
      </c>
    </row>
    <row r="34">
      <c r="I34">
        <f>IF($H$2="",NA(),IF(INDEX(CSV!$A:$A,$H$2+33)="",NA(),INDEX(CSV!$A:$A,$H$2+33)*1))</f>
        <v/>
      </c>
      <c r="J34">
        <f>IF($H$2="",NA(),IF(INDEX(CSV!$B:$B,$H$2+33)="",NA(),INDEX(CSV!$B:$B,$H$2+33)*1))</f>
        <v/>
      </c>
      <c r="K34">
        <f>IF($H$2="",NA(),IF(INDEX(CSV!$D:$D,$H$2+33)="",NA(),INDEX(CSV!$D:$D,$H$2+33)*1))</f>
        <v/>
      </c>
    </row>
    <row r="35">
      <c r="I35">
        <f>IF($H$2="",NA(),IF(INDEX(CSV!$A:$A,$H$2+34)="",NA(),INDEX(CSV!$A:$A,$H$2+34)*1))</f>
        <v/>
      </c>
      <c r="J35">
        <f>IF($H$2="",NA(),IF(INDEX(CSV!$B:$B,$H$2+34)="",NA(),INDEX(CSV!$B:$B,$H$2+34)*1))</f>
        <v/>
      </c>
      <c r="K35">
        <f>IF($H$2="",NA(),IF(INDEX(CSV!$D:$D,$H$2+34)="",NA(),INDEX(CSV!$D:$D,$H$2+34)*1))</f>
        <v/>
      </c>
    </row>
    <row r="36">
      <c r="I36">
        <f>IF($H$2="",NA(),IF(INDEX(CSV!$A:$A,$H$2+35)="",NA(),INDEX(CSV!$A:$A,$H$2+35)*1))</f>
        <v/>
      </c>
      <c r="J36">
        <f>IF($H$2="",NA(),IF(INDEX(CSV!$B:$B,$H$2+35)="",NA(),INDEX(CSV!$B:$B,$H$2+35)*1))</f>
        <v/>
      </c>
      <c r="K36">
        <f>IF($H$2="",NA(),IF(INDEX(CSV!$D:$D,$H$2+35)="",NA(),INDEX(CSV!$D:$D,$H$2+35)*1))</f>
        <v/>
      </c>
    </row>
    <row r="37">
      <c r="I37">
        <f>IF($H$2="",NA(),IF(INDEX(CSV!$A:$A,$H$2+36)="",NA(),INDEX(CSV!$A:$A,$H$2+36)*1))</f>
        <v/>
      </c>
      <c r="J37">
        <f>IF($H$2="",NA(),IF(INDEX(CSV!$B:$B,$H$2+36)="",NA(),INDEX(CSV!$B:$B,$H$2+36)*1))</f>
        <v/>
      </c>
      <c r="K37">
        <f>IF($H$2="",NA(),IF(INDEX(CSV!$D:$D,$H$2+36)="",NA(),INDEX(CSV!$D:$D,$H$2+36)*1))</f>
        <v/>
      </c>
    </row>
    <row r="38">
      <c r="I38">
        <f>IF($H$2="",NA(),IF(INDEX(CSV!$A:$A,$H$2+37)="",NA(),INDEX(CSV!$A:$A,$H$2+37)*1))</f>
        <v/>
      </c>
      <c r="J38">
        <f>IF($H$2="",NA(),IF(INDEX(CSV!$B:$B,$H$2+37)="",NA(),INDEX(CSV!$B:$B,$H$2+37)*1))</f>
        <v/>
      </c>
      <c r="K38">
        <f>IF($H$2="",NA(),IF(INDEX(CSV!$D:$D,$H$2+37)="",NA(),INDEX(CSV!$D:$D,$H$2+37)*1))</f>
        <v/>
      </c>
    </row>
    <row r="39">
      <c r="I39">
        <f>IF($H$2="",NA(),IF(INDEX(CSV!$A:$A,$H$2+38)="",NA(),INDEX(CSV!$A:$A,$H$2+38)*1))</f>
        <v/>
      </c>
      <c r="J39">
        <f>IF($H$2="",NA(),IF(INDEX(CSV!$B:$B,$H$2+38)="",NA(),INDEX(CSV!$B:$B,$H$2+38)*1))</f>
        <v/>
      </c>
      <c r="K39">
        <f>IF($H$2="",NA(),IF(INDEX(CSV!$D:$D,$H$2+38)="",NA(),INDEX(CSV!$D:$D,$H$2+38)*1))</f>
        <v/>
      </c>
    </row>
    <row r="40">
      <c r="I40">
        <f>IF($H$2="",NA(),IF(INDEX(CSV!$A:$A,$H$2+39)="",NA(),INDEX(CSV!$A:$A,$H$2+39)*1))</f>
        <v/>
      </c>
      <c r="J40">
        <f>IF($H$2="",NA(),IF(INDEX(CSV!$B:$B,$H$2+39)="",NA(),INDEX(CSV!$B:$B,$H$2+39)*1))</f>
        <v/>
      </c>
      <c r="K40">
        <f>IF($H$2="",NA(),IF(INDEX(CSV!$D:$D,$H$2+39)="",NA(),INDEX(CSV!$D:$D,$H$2+39)*1))</f>
        <v/>
      </c>
    </row>
    <row r="41">
      <c r="I41">
        <f>IF($H$2="",NA(),IF(INDEX(CSV!$A:$A,$H$2+40)="",NA(),INDEX(CSV!$A:$A,$H$2+40)*1))</f>
        <v/>
      </c>
      <c r="J41">
        <f>IF($H$2="",NA(),IF(INDEX(CSV!$B:$B,$H$2+40)="",NA(),INDEX(CSV!$B:$B,$H$2+40)*1))</f>
        <v/>
      </c>
      <c r="K41">
        <f>IF($H$2="",NA(),IF(INDEX(CSV!$D:$D,$H$2+40)="",NA(),INDEX(CSV!$D:$D,$H$2+40)*1))</f>
        <v/>
      </c>
    </row>
    <row r="42">
      <c r="I42">
        <f>IF($H$2="",NA(),IF(INDEX(CSV!$A:$A,$H$2+41)="",NA(),INDEX(CSV!$A:$A,$H$2+41)*1))</f>
        <v/>
      </c>
      <c r="J42">
        <f>IF($H$2="",NA(),IF(INDEX(CSV!$B:$B,$H$2+41)="",NA(),INDEX(CSV!$B:$B,$H$2+41)*1))</f>
        <v/>
      </c>
      <c r="K42">
        <f>IF($H$2="",NA(),IF(INDEX(CSV!$D:$D,$H$2+41)="",NA(),INDEX(CSV!$D:$D,$H$2+41)*1))</f>
        <v/>
      </c>
    </row>
    <row r="43">
      <c r="I43">
        <f>IF($H$2="",NA(),IF(INDEX(CSV!$A:$A,$H$2+42)="",NA(),INDEX(CSV!$A:$A,$H$2+42)*1))</f>
        <v/>
      </c>
      <c r="J43">
        <f>IF($H$2="",NA(),IF(INDEX(CSV!$B:$B,$H$2+42)="",NA(),INDEX(CSV!$B:$B,$H$2+42)*1))</f>
        <v/>
      </c>
      <c r="K43">
        <f>IF($H$2="",NA(),IF(INDEX(CSV!$D:$D,$H$2+42)="",NA(),INDEX(CSV!$D:$D,$H$2+42)*1))</f>
        <v/>
      </c>
    </row>
    <row r="44">
      <c r="I44">
        <f>IF($H$2="",NA(),IF(INDEX(CSV!$A:$A,$H$2+43)="",NA(),INDEX(CSV!$A:$A,$H$2+43)*1))</f>
        <v/>
      </c>
      <c r="J44">
        <f>IF($H$2="",NA(),IF(INDEX(CSV!$B:$B,$H$2+43)="",NA(),INDEX(CSV!$B:$B,$H$2+43)*1))</f>
        <v/>
      </c>
      <c r="K44">
        <f>IF($H$2="",NA(),IF(INDEX(CSV!$D:$D,$H$2+43)="",NA(),INDEX(CSV!$D:$D,$H$2+43)*1))</f>
        <v/>
      </c>
    </row>
    <row r="45">
      <c r="I45">
        <f>IF($H$2="",NA(),IF(INDEX(CSV!$A:$A,$H$2+44)="",NA(),INDEX(CSV!$A:$A,$H$2+44)*1))</f>
        <v/>
      </c>
      <c r="J45">
        <f>IF($H$2="",NA(),IF(INDEX(CSV!$B:$B,$H$2+44)="",NA(),INDEX(CSV!$B:$B,$H$2+44)*1))</f>
        <v/>
      </c>
      <c r="K45">
        <f>IF($H$2="",NA(),IF(INDEX(CSV!$D:$D,$H$2+44)="",NA(),INDEX(CSV!$D:$D,$H$2+44)*1))</f>
        <v/>
      </c>
    </row>
    <row r="46">
      <c r="I46">
        <f>IF($H$2="",NA(),IF(INDEX(CSV!$A:$A,$H$2+45)="",NA(),INDEX(CSV!$A:$A,$H$2+45)*1))</f>
        <v/>
      </c>
      <c r="J46">
        <f>IF($H$2="",NA(),IF(INDEX(CSV!$B:$B,$H$2+45)="",NA(),INDEX(CSV!$B:$B,$H$2+45)*1))</f>
        <v/>
      </c>
      <c r="K46">
        <f>IF($H$2="",NA(),IF(INDEX(CSV!$D:$D,$H$2+45)="",NA(),INDEX(CSV!$D:$D,$H$2+45)*1))</f>
        <v/>
      </c>
    </row>
    <row r="47">
      <c r="I47">
        <f>IF($H$2="",NA(),IF(INDEX(CSV!$A:$A,$H$2+46)="",NA(),INDEX(CSV!$A:$A,$H$2+46)*1))</f>
        <v/>
      </c>
      <c r="J47">
        <f>IF($H$2="",NA(),IF(INDEX(CSV!$B:$B,$H$2+46)="",NA(),INDEX(CSV!$B:$B,$H$2+46)*1))</f>
        <v/>
      </c>
      <c r="K47">
        <f>IF($H$2="",NA(),IF(INDEX(CSV!$D:$D,$H$2+46)="",NA(),INDEX(CSV!$D:$D,$H$2+46)*1))</f>
        <v/>
      </c>
    </row>
    <row r="48">
      <c r="I48">
        <f>IF($H$2="",NA(),IF(INDEX(CSV!$A:$A,$H$2+47)="",NA(),INDEX(CSV!$A:$A,$H$2+47)*1))</f>
        <v/>
      </c>
      <c r="J48">
        <f>IF($H$2="",NA(),IF(INDEX(CSV!$B:$B,$H$2+47)="",NA(),INDEX(CSV!$B:$B,$H$2+47)*1))</f>
        <v/>
      </c>
      <c r="K48">
        <f>IF($H$2="",NA(),IF(INDEX(CSV!$D:$D,$H$2+47)="",NA(),INDEX(CSV!$D:$D,$H$2+47)*1))</f>
        <v/>
      </c>
    </row>
    <row r="49">
      <c r="I49">
        <f>IF($H$2="",NA(),IF(INDEX(CSV!$A:$A,$H$2+48)="",NA(),INDEX(CSV!$A:$A,$H$2+48)*1))</f>
        <v/>
      </c>
      <c r="J49">
        <f>IF($H$2="",NA(),IF(INDEX(CSV!$B:$B,$H$2+48)="",NA(),INDEX(CSV!$B:$B,$H$2+48)*1))</f>
        <v/>
      </c>
      <c r="K49">
        <f>IF($H$2="",NA(),IF(INDEX(CSV!$D:$D,$H$2+48)="",NA(),INDEX(CSV!$D:$D,$H$2+48)*1))</f>
        <v/>
      </c>
    </row>
    <row r="50">
      <c r="I50">
        <f>IF($H$2="",NA(),IF(INDEX(CSV!$A:$A,$H$2+49)="",NA(),INDEX(CSV!$A:$A,$H$2+49)*1))</f>
        <v/>
      </c>
      <c r="J50">
        <f>IF($H$2="",NA(),IF(INDEX(CSV!$B:$B,$H$2+49)="",NA(),INDEX(CSV!$B:$B,$H$2+49)*1))</f>
        <v/>
      </c>
      <c r="K50">
        <f>IF($H$2="",NA(),IF(INDEX(CSV!$D:$D,$H$2+49)="",NA(),INDEX(CSV!$D:$D,$H$2+49)*1))</f>
        <v/>
      </c>
    </row>
    <row r="51">
      <c r="I51">
        <f>IF($H$2="",NA(),IF(INDEX(CSV!$A:$A,$H$2+50)="",NA(),INDEX(CSV!$A:$A,$H$2+50)*1))</f>
        <v/>
      </c>
      <c r="J51">
        <f>IF($H$2="",NA(),IF(INDEX(CSV!$B:$B,$H$2+50)="",NA(),INDEX(CSV!$B:$B,$H$2+50)*1))</f>
        <v/>
      </c>
      <c r="K51">
        <f>IF($H$2="",NA(),IF(INDEX(CSV!$D:$D,$H$2+50)="",NA(),INDEX(CSV!$D:$D,$H$2+50)*1))</f>
        <v/>
      </c>
    </row>
    <row r="52">
      <c r="I52">
        <f>IF($H$2="",NA(),IF(INDEX(CSV!$A:$A,$H$2+51)="",NA(),INDEX(CSV!$A:$A,$H$2+51)*1))</f>
        <v/>
      </c>
      <c r="J52">
        <f>IF($H$2="",NA(),IF(INDEX(CSV!$B:$B,$H$2+51)="",NA(),INDEX(CSV!$B:$B,$H$2+51)*1))</f>
        <v/>
      </c>
      <c r="K52">
        <f>IF($H$2="",NA(),IF(INDEX(CSV!$D:$D,$H$2+51)="",NA(),INDEX(CSV!$D:$D,$H$2+51)*1))</f>
        <v/>
      </c>
    </row>
    <row r="53">
      <c r="I53">
        <f>IF($H$2="",NA(),IF(INDEX(CSV!$A:$A,$H$2+52)="",NA(),INDEX(CSV!$A:$A,$H$2+52)*1))</f>
        <v/>
      </c>
      <c r="J53">
        <f>IF($H$2="",NA(),IF(INDEX(CSV!$B:$B,$H$2+52)="",NA(),INDEX(CSV!$B:$B,$H$2+52)*1))</f>
        <v/>
      </c>
      <c r="K53">
        <f>IF($H$2="",NA(),IF(INDEX(CSV!$D:$D,$H$2+52)="",NA(),INDEX(CSV!$D:$D,$H$2+52)*1))</f>
        <v/>
      </c>
    </row>
    <row r="54">
      <c r="I54">
        <f>IF($H$2="",NA(),IF(INDEX(CSV!$A:$A,$H$2+53)="",NA(),INDEX(CSV!$A:$A,$H$2+53)*1))</f>
        <v/>
      </c>
      <c r="J54">
        <f>IF($H$2="",NA(),IF(INDEX(CSV!$B:$B,$H$2+53)="",NA(),INDEX(CSV!$B:$B,$H$2+53)*1))</f>
        <v/>
      </c>
      <c r="K54">
        <f>IF($H$2="",NA(),IF(INDEX(CSV!$D:$D,$H$2+53)="",NA(),INDEX(CSV!$D:$D,$H$2+53)*1))</f>
        <v/>
      </c>
    </row>
    <row r="55">
      <c r="I55">
        <f>IF($H$2="",NA(),IF(INDEX(CSV!$A:$A,$H$2+54)="",NA(),INDEX(CSV!$A:$A,$H$2+54)*1))</f>
        <v/>
      </c>
      <c r="J55">
        <f>IF($H$2="",NA(),IF(INDEX(CSV!$B:$B,$H$2+54)="",NA(),INDEX(CSV!$B:$B,$H$2+54)*1))</f>
        <v/>
      </c>
      <c r="K55">
        <f>IF($H$2="",NA(),IF(INDEX(CSV!$D:$D,$H$2+54)="",NA(),INDEX(CSV!$D:$D,$H$2+54)*1))</f>
        <v/>
      </c>
    </row>
    <row r="56">
      <c r="I56">
        <f>IF($H$2="",NA(),IF(INDEX(CSV!$A:$A,$H$2+55)="",NA(),INDEX(CSV!$A:$A,$H$2+55)*1))</f>
        <v/>
      </c>
      <c r="J56">
        <f>IF($H$2="",NA(),IF(INDEX(CSV!$B:$B,$H$2+55)="",NA(),INDEX(CSV!$B:$B,$H$2+55)*1))</f>
        <v/>
      </c>
      <c r="K56">
        <f>IF($H$2="",NA(),IF(INDEX(CSV!$D:$D,$H$2+55)="",NA(),INDEX(CSV!$D:$D,$H$2+55)*1))</f>
        <v/>
      </c>
    </row>
    <row r="57">
      <c r="I57">
        <f>IF($H$2="",NA(),IF(INDEX(CSV!$A:$A,$H$2+56)="",NA(),INDEX(CSV!$A:$A,$H$2+56)*1))</f>
        <v/>
      </c>
      <c r="J57">
        <f>IF($H$2="",NA(),IF(INDEX(CSV!$B:$B,$H$2+56)="",NA(),INDEX(CSV!$B:$B,$H$2+56)*1))</f>
        <v/>
      </c>
      <c r="K57">
        <f>IF($H$2="",NA(),IF(INDEX(CSV!$D:$D,$H$2+56)="",NA(),INDEX(CSV!$D:$D,$H$2+56)*1))</f>
        <v/>
      </c>
    </row>
    <row r="58">
      <c r="I58">
        <f>IF($H$2="",NA(),IF(INDEX(CSV!$A:$A,$H$2+57)="",NA(),INDEX(CSV!$A:$A,$H$2+57)*1))</f>
        <v/>
      </c>
      <c r="J58">
        <f>IF($H$2="",NA(),IF(INDEX(CSV!$B:$B,$H$2+57)="",NA(),INDEX(CSV!$B:$B,$H$2+57)*1))</f>
        <v/>
      </c>
      <c r="K58">
        <f>IF($H$2="",NA(),IF(INDEX(CSV!$D:$D,$H$2+57)="",NA(),INDEX(CSV!$D:$D,$H$2+57)*1))</f>
        <v/>
      </c>
    </row>
    <row r="59">
      <c r="I59">
        <f>IF($H$2="",NA(),IF(INDEX(CSV!$A:$A,$H$2+58)="",NA(),INDEX(CSV!$A:$A,$H$2+58)*1))</f>
        <v/>
      </c>
      <c r="J59">
        <f>IF($H$2="",NA(),IF(INDEX(CSV!$B:$B,$H$2+58)="",NA(),INDEX(CSV!$B:$B,$H$2+58)*1))</f>
        <v/>
      </c>
      <c r="K59">
        <f>IF($H$2="",NA(),IF(INDEX(CSV!$D:$D,$H$2+58)="",NA(),INDEX(CSV!$D:$D,$H$2+58)*1))</f>
        <v/>
      </c>
    </row>
    <row r="60">
      <c r="I60">
        <f>IF($H$2="",NA(),IF(INDEX(CSV!$A:$A,$H$2+59)="",NA(),INDEX(CSV!$A:$A,$H$2+59)*1))</f>
        <v/>
      </c>
      <c r="J60">
        <f>IF($H$2="",NA(),IF(INDEX(CSV!$B:$B,$H$2+59)="",NA(),INDEX(CSV!$B:$B,$H$2+59)*1))</f>
        <v/>
      </c>
      <c r="K60">
        <f>IF($H$2="",NA(),IF(INDEX(CSV!$D:$D,$H$2+59)="",NA(),INDEX(CSV!$D:$D,$H$2+59)*1))</f>
        <v/>
      </c>
    </row>
    <row r="61">
      <c r="I61">
        <f>IF($H$2="",NA(),IF(INDEX(CSV!$A:$A,$H$2+60)="",NA(),INDEX(CSV!$A:$A,$H$2+60)*1))</f>
        <v/>
      </c>
      <c r="J61">
        <f>IF($H$2="",NA(),IF(INDEX(CSV!$B:$B,$H$2+60)="",NA(),INDEX(CSV!$B:$B,$H$2+60)*1))</f>
        <v/>
      </c>
      <c r="K61">
        <f>IF($H$2="",NA(),IF(INDEX(CSV!$D:$D,$H$2+60)="",NA(),INDEX(CSV!$D:$D,$H$2+60)*1))</f>
        <v/>
      </c>
    </row>
    <row r="62">
      <c r="I62">
        <f>IF($H$2="",NA(),IF(INDEX(CSV!$A:$A,$H$2+61)="",NA(),INDEX(CSV!$A:$A,$H$2+61)*1))</f>
        <v/>
      </c>
      <c r="J62">
        <f>IF($H$2="",NA(),IF(INDEX(CSV!$B:$B,$H$2+61)="",NA(),INDEX(CSV!$B:$B,$H$2+61)*1))</f>
        <v/>
      </c>
      <c r="K62">
        <f>IF($H$2="",NA(),IF(INDEX(CSV!$D:$D,$H$2+61)="",NA(),INDEX(CSV!$D:$D,$H$2+61)*1))</f>
        <v/>
      </c>
    </row>
    <row r="63">
      <c r="I63">
        <f>IF($H$2="",NA(),IF(INDEX(CSV!$A:$A,$H$2+62)="",NA(),INDEX(CSV!$A:$A,$H$2+62)*1))</f>
        <v/>
      </c>
      <c r="J63">
        <f>IF($H$2="",NA(),IF(INDEX(CSV!$B:$B,$H$2+62)="",NA(),INDEX(CSV!$B:$B,$H$2+62)*1))</f>
        <v/>
      </c>
      <c r="K63">
        <f>IF($H$2="",NA(),IF(INDEX(CSV!$D:$D,$H$2+62)="",NA(),INDEX(CSV!$D:$D,$H$2+62)*1))</f>
        <v/>
      </c>
    </row>
    <row r="64">
      <c r="I64">
        <f>IF($H$2="",NA(),IF(INDEX(CSV!$A:$A,$H$2+63)="",NA(),INDEX(CSV!$A:$A,$H$2+63)*1))</f>
        <v/>
      </c>
      <c r="J64">
        <f>IF($H$2="",NA(),IF(INDEX(CSV!$B:$B,$H$2+63)="",NA(),INDEX(CSV!$B:$B,$H$2+63)*1))</f>
        <v/>
      </c>
      <c r="K64">
        <f>IF($H$2="",NA(),IF(INDEX(CSV!$D:$D,$H$2+63)="",NA(),INDEX(CSV!$D:$D,$H$2+63)*1))</f>
        <v/>
      </c>
    </row>
    <row r="65">
      <c r="I65">
        <f>IF($H$2="",NA(),IF(INDEX(CSV!$A:$A,$H$2+64)="",NA(),INDEX(CSV!$A:$A,$H$2+64)*1))</f>
        <v/>
      </c>
      <c r="J65">
        <f>IF($H$2="",NA(),IF(INDEX(CSV!$B:$B,$H$2+64)="",NA(),INDEX(CSV!$B:$B,$H$2+64)*1))</f>
        <v/>
      </c>
      <c r="K65">
        <f>IF($H$2="",NA(),IF(INDEX(CSV!$D:$D,$H$2+64)="",NA(),INDEX(CSV!$D:$D,$H$2+64)*1))</f>
        <v/>
      </c>
    </row>
    <row r="66">
      <c r="I66">
        <f>IF($H$2="",NA(),IF(INDEX(CSV!$A:$A,$H$2+65)="",NA(),INDEX(CSV!$A:$A,$H$2+65)*1))</f>
        <v/>
      </c>
      <c r="J66">
        <f>IF($H$2="",NA(),IF(INDEX(CSV!$B:$B,$H$2+65)="",NA(),INDEX(CSV!$B:$B,$H$2+65)*1))</f>
        <v/>
      </c>
      <c r="K66">
        <f>IF($H$2="",NA(),IF(INDEX(CSV!$D:$D,$H$2+65)="",NA(),INDEX(CSV!$D:$D,$H$2+65)*1))</f>
        <v/>
      </c>
    </row>
    <row r="67">
      <c r="I67">
        <f>IF($H$2="",NA(),IF(INDEX(CSV!$A:$A,$H$2+66)="",NA(),INDEX(CSV!$A:$A,$H$2+66)*1))</f>
        <v/>
      </c>
      <c r="J67">
        <f>IF($H$2="",NA(),IF(INDEX(CSV!$B:$B,$H$2+66)="",NA(),INDEX(CSV!$B:$B,$H$2+66)*1))</f>
        <v/>
      </c>
      <c r="K67">
        <f>IF($H$2="",NA(),IF(INDEX(CSV!$D:$D,$H$2+66)="",NA(),INDEX(CSV!$D:$D,$H$2+66)*1))</f>
        <v/>
      </c>
    </row>
    <row r="68">
      <c r="I68">
        <f>IF($H$2="",NA(),IF(INDEX(CSV!$A:$A,$H$2+67)="",NA(),INDEX(CSV!$A:$A,$H$2+67)*1))</f>
        <v/>
      </c>
      <c r="J68">
        <f>IF($H$2="",NA(),IF(INDEX(CSV!$B:$B,$H$2+67)="",NA(),INDEX(CSV!$B:$B,$H$2+67)*1))</f>
        <v/>
      </c>
      <c r="K68">
        <f>IF($H$2="",NA(),IF(INDEX(CSV!$D:$D,$H$2+67)="",NA(),INDEX(CSV!$D:$D,$H$2+67)*1))</f>
        <v/>
      </c>
    </row>
    <row r="69">
      <c r="I69">
        <f>IF($H$2="",NA(),IF(INDEX(CSV!$A:$A,$H$2+68)="",NA(),INDEX(CSV!$A:$A,$H$2+68)*1))</f>
        <v/>
      </c>
      <c r="J69">
        <f>IF($H$2="",NA(),IF(INDEX(CSV!$B:$B,$H$2+68)="",NA(),INDEX(CSV!$B:$B,$H$2+68)*1))</f>
        <v/>
      </c>
      <c r="K69">
        <f>IF($H$2="",NA(),IF(INDEX(CSV!$D:$D,$H$2+68)="",NA(),INDEX(CSV!$D:$D,$H$2+68)*1))</f>
        <v/>
      </c>
    </row>
    <row r="70">
      <c r="I70">
        <f>IF($H$2="",NA(),IF(INDEX(CSV!$A:$A,$H$2+69)="",NA(),INDEX(CSV!$A:$A,$H$2+69)*1))</f>
        <v/>
      </c>
      <c r="J70">
        <f>IF($H$2="",NA(),IF(INDEX(CSV!$B:$B,$H$2+69)="",NA(),INDEX(CSV!$B:$B,$H$2+69)*1))</f>
        <v/>
      </c>
      <c r="K70">
        <f>IF($H$2="",NA(),IF(INDEX(CSV!$D:$D,$H$2+69)="",NA(),INDEX(CSV!$D:$D,$H$2+69)*1))</f>
        <v/>
      </c>
    </row>
    <row r="71">
      <c r="I71">
        <f>IF($H$2="",NA(),IF(INDEX(CSV!$A:$A,$H$2+70)="",NA(),INDEX(CSV!$A:$A,$H$2+70)*1))</f>
        <v/>
      </c>
      <c r="J71">
        <f>IF($H$2="",NA(),IF(INDEX(CSV!$B:$B,$H$2+70)="",NA(),INDEX(CSV!$B:$B,$H$2+70)*1))</f>
        <v/>
      </c>
      <c r="K71">
        <f>IF($H$2="",NA(),IF(INDEX(CSV!$D:$D,$H$2+70)="",NA(),INDEX(CSV!$D:$D,$H$2+70)*1))</f>
        <v/>
      </c>
    </row>
    <row r="72">
      <c r="I72">
        <f>IF($H$2="",NA(),IF(INDEX(CSV!$A:$A,$H$2+71)="",NA(),INDEX(CSV!$A:$A,$H$2+71)*1))</f>
        <v/>
      </c>
      <c r="J72">
        <f>IF($H$2="",NA(),IF(INDEX(CSV!$B:$B,$H$2+71)="",NA(),INDEX(CSV!$B:$B,$H$2+71)*1))</f>
        <v/>
      </c>
      <c r="K72">
        <f>IF($H$2="",NA(),IF(INDEX(CSV!$D:$D,$H$2+71)="",NA(),INDEX(CSV!$D:$D,$H$2+71)*1))</f>
        <v/>
      </c>
    </row>
    <row r="73">
      <c r="I73">
        <f>IF($H$2="",NA(),IF(INDEX(CSV!$A:$A,$H$2+72)="",NA(),INDEX(CSV!$A:$A,$H$2+72)*1))</f>
        <v/>
      </c>
      <c r="J73">
        <f>IF($H$2="",NA(),IF(INDEX(CSV!$B:$B,$H$2+72)="",NA(),INDEX(CSV!$B:$B,$H$2+72)*1))</f>
        <v/>
      </c>
      <c r="K73">
        <f>IF($H$2="",NA(),IF(INDEX(CSV!$D:$D,$H$2+72)="",NA(),INDEX(CSV!$D:$D,$H$2+72)*1))</f>
        <v/>
      </c>
    </row>
    <row r="74">
      <c r="I74">
        <f>IF($H$2="",NA(),IF(INDEX(CSV!$A:$A,$H$2+73)="",NA(),INDEX(CSV!$A:$A,$H$2+73)*1))</f>
        <v/>
      </c>
      <c r="J74">
        <f>IF($H$2="",NA(),IF(INDEX(CSV!$B:$B,$H$2+73)="",NA(),INDEX(CSV!$B:$B,$H$2+73)*1))</f>
        <v/>
      </c>
      <c r="K74">
        <f>IF($H$2="",NA(),IF(INDEX(CSV!$D:$D,$H$2+73)="",NA(),INDEX(CSV!$D:$D,$H$2+73)*1))</f>
        <v/>
      </c>
    </row>
    <row r="75">
      <c r="I75">
        <f>IF($H$2="",NA(),IF(INDEX(CSV!$A:$A,$H$2+74)="",NA(),INDEX(CSV!$A:$A,$H$2+74)*1))</f>
        <v/>
      </c>
      <c r="J75">
        <f>IF($H$2="",NA(),IF(INDEX(CSV!$B:$B,$H$2+74)="",NA(),INDEX(CSV!$B:$B,$H$2+74)*1))</f>
        <v/>
      </c>
      <c r="K75">
        <f>IF($H$2="",NA(),IF(INDEX(CSV!$D:$D,$H$2+74)="",NA(),INDEX(CSV!$D:$D,$H$2+74)*1))</f>
        <v/>
      </c>
    </row>
    <row r="76">
      <c r="I76">
        <f>IF($H$2="",NA(),IF(INDEX(CSV!$A:$A,$H$2+75)="",NA(),INDEX(CSV!$A:$A,$H$2+75)*1))</f>
        <v/>
      </c>
      <c r="J76">
        <f>IF($H$2="",NA(),IF(INDEX(CSV!$B:$B,$H$2+75)="",NA(),INDEX(CSV!$B:$B,$H$2+75)*1))</f>
        <v/>
      </c>
      <c r="K76">
        <f>IF($H$2="",NA(),IF(INDEX(CSV!$D:$D,$H$2+75)="",NA(),INDEX(CSV!$D:$D,$H$2+75)*1))</f>
        <v/>
      </c>
    </row>
    <row r="77">
      <c r="I77">
        <f>IF($H$2="",NA(),IF(INDEX(CSV!$A:$A,$H$2+76)="",NA(),INDEX(CSV!$A:$A,$H$2+76)*1))</f>
        <v/>
      </c>
      <c r="J77">
        <f>IF($H$2="",NA(),IF(INDEX(CSV!$B:$B,$H$2+76)="",NA(),INDEX(CSV!$B:$B,$H$2+76)*1))</f>
        <v/>
      </c>
      <c r="K77">
        <f>IF($H$2="",NA(),IF(INDEX(CSV!$D:$D,$H$2+76)="",NA(),INDEX(CSV!$D:$D,$H$2+76)*1))</f>
        <v/>
      </c>
    </row>
    <row r="78">
      <c r="I78">
        <f>IF($H$2="",NA(),IF(INDEX(CSV!$A:$A,$H$2+77)="",NA(),INDEX(CSV!$A:$A,$H$2+77)*1))</f>
        <v/>
      </c>
      <c r="J78">
        <f>IF($H$2="",NA(),IF(INDEX(CSV!$B:$B,$H$2+77)="",NA(),INDEX(CSV!$B:$B,$H$2+77)*1))</f>
        <v/>
      </c>
      <c r="K78">
        <f>IF($H$2="",NA(),IF(INDEX(CSV!$D:$D,$H$2+77)="",NA(),INDEX(CSV!$D:$D,$H$2+77)*1))</f>
        <v/>
      </c>
    </row>
    <row r="79">
      <c r="I79">
        <f>IF($H$2="",NA(),IF(INDEX(CSV!$A:$A,$H$2+78)="",NA(),INDEX(CSV!$A:$A,$H$2+78)*1))</f>
        <v/>
      </c>
      <c r="J79">
        <f>IF($H$2="",NA(),IF(INDEX(CSV!$B:$B,$H$2+78)="",NA(),INDEX(CSV!$B:$B,$H$2+78)*1))</f>
        <v/>
      </c>
      <c r="K79">
        <f>IF($H$2="",NA(),IF(INDEX(CSV!$D:$D,$H$2+78)="",NA(),INDEX(CSV!$D:$D,$H$2+78)*1))</f>
        <v/>
      </c>
    </row>
    <row r="80">
      <c r="I80">
        <f>IF($H$2="",NA(),IF(INDEX(CSV!$A:$A,$H$2+79)="",NA(),INDEX(CSV!$A:$A,$H$2+79)*1))</f>
        <v/>
      </c>
      <c r="J80">
        <f>IF($H$2="",NA(),IF(INDEX(CSV!$B:$B,$H$2+79)="",NA(),INDEX(CSV!$B:$B,$H$2+79)*1))</f>
        <v/>
      </c>
      <c r="K80">
        <f>IF($H$2="",NA(),IF(INDEX(CSV!$D:$D,$H$2+79)="",NA(),INDEX(CSV!$D:$D,$H$2+79)*1))</f>
        <v/>
      </c>
    </row>
    <row r="81">
      <c r="I81">
        <f>IF($H$2="",NA(),IF(INDEX(CSV!$A:$A,$H$2+80)="",NA(),INDEX(CSV!$A:$A,$H$2+80)*1))</f>
        <v/>
      </c>
      <c r="J81">
        <f>IF($H$2="",NA(),IF(INDEX(CSV!$B:$B,$H$2+80)="",NA(),INDEX(CSV!$B:$B,$H$2+80)*1))</f>
        <v/>
      </c>
      <c r="K81">
        <f>IF($H$2="",NA(),IF(INDEX(CSV!$D:$D,$H$2+80)="",NA(),INDEX(CSV!$D:$D,$H$2+80)*1))</f>
        <v/>
      </c>
    </row>
    <row r="82">
      <c r="I82">
        <f>IF($H$2="",NA(),IF(INDEX(CSV!$A:$A,$H$2+81)="",NA(),INDEX(CSV!$A:$A,$H$2+81)*1))</f>
        <v/>
      </c>
      <c r="J82">
        <f>IF($H$2="",NA(),IF(INDEX(CSV!$B:$B,$H$2+81)="",NA(),INDEX(CSV!$B:$B,$H$2+81)*1))</f>
        <v/>
      </c>
      <c r="K82">
        <f>IF($H$2="",NA(),IF(INDEX(CSV!$D:$D,$H$2+81)="",NA(),INDEX(CSV!$D:$D,$H$2+81)*1))</f>
        <v/>
      </c>
    </row>
    <row r="83">
      <c r="I83">
        <f>IF($H$2="",NA(),IF(INDEX(CSV!$A:$A,$H$2+82)="",NA(),INDEX(CSV!$A:$A,$H$2+82)*1))</f>
        <v/>
      </c>
      <c r="J83">
        <f>IF($H$2="",NA(),IF(INDEX(CSV!$B:$B,$H$2+82)="",NA(),INDEX(CSV!$B:$B,$H$2+82)*1))</f>
        <v/>
      </c>
      <c r="K83">
        <f>IF($H$2="",NA(),IF(INDEX(CSV!$D:$D,$H$2+82)="",NA(),INDEX(CSV!$D:$D,$H$2+82)*1))</f>
        <v/>
      </c>
    </row>
    <row r="84">
      <c r="I84">
        <f>IF($H$2="",NA(),IF(INDEX(CSV!$A:$A,$H$2+83)="",NA(),INDEX(CSV!$A:$A,$H$2+83)*1))</f>
        <v/>
      </c>
      <c r="J84">
        <f>IF($H$2="",NA(),IF(INDEX(CSV!$B:$B,$H$2+83)="",NA(),INDEX(CSV!$B:$B,$H$2+83)*1))</f>
        <v/>
      </c>
      <c r="K84">
        <f>IF($H$2="",NA(),IF(INDEX(CSV!$D:$D,$H$2+83)="",NA(),INDEX(CSV!$D:$D,$H$2+83)*1))</f>
        <v/>
      </c>
    </row>
    <row r="85">
      <c r="I85">
        <f>IF($H$2="",NA(),IF(INDEX(CSV!$A:$A,$H$2+84)="",NA(),INDEX(CSV!$A:$A,$H$2+84)*1))</f>
        <v/>
      </c>
      <c r="J85">
        <f>IF($H$2="",NA(),IF(INDEX(CSV!$B:$B,$H$2+84)="",NA(),INDEX(CSV!$B:$B,$H$2+84)*1))</f>
        <v/>
      </c>
      <c r="K85">
        <f>IF($H$2="",NA(),IF(INDEX(CSV!$D:$D,$H$2+84)="",NA(),INDEX(CSV!$D:$D,$H$2+84)*1))</f>
        <v/>
      </c>
    </row>
    <row r="86">
      <c r="I86">
        <f>IF($H$2="",NA(),IF(INDEX(CSV!$A:$A,$H$2+85)="",NA(),INDEX(CSV!$A:$A,$H$2+85)*1))</f>
        <v/>
      </c>
      <c r="J86">
        <f>IF($H$2="",NA(),IF(INDEX(CSV!$B:$B,$H$2+85)="",NA(),INDEX(CSV!$B:$B,$H$2+85)*1))</f>
        <v/>
      </c>
      <c r="K86">
        <f>IF($H$2="",NA(),IF(INDEX(CSV!$D:$D,$H$2+85)="",NA(),INDEX(CSV!$D:$D,$H$2+85)*1))</f>
        <v/>
      </c>
    </row>
    <row r="87">
      <c r="I87">
        <f>IF($H$2="",NA(),IF(INDEX(CSV!$A:$A,$H$2+86)="",NA(),INDEX(CSV!$A:$A,$H$2+86)*1))</f>
        <v/>
      </c>
      <c r="J87">
        <f>IF($H$2="",NA(),IF(INDEX(CSV!$B:$B,$H$2+86)="",NA(),INDEX(CSV!$B:$B,$H$2+86)*1))</f>
        <v/>
      </c>
      <c r="K87">
        <f>IF($H$2="",NA(),IF(INDEX(CSV!$D:$D,$H$2+86)="",NA(),INDEX(CSV!$D:$D,$H$2+86)*1))</f>
        <v/>
      </c>
    </row>
    <row r="88">
      <c r="I88">
        <f>IF($H$2="",NA(),IF(INDEX(CSV!$A:$A,$H$2+87)="",NA(),INDEX(CSV!$A:$A,$H$2+87)*1))</f>
        <v/>
      </c>
      <c r="J88">
        <f>IF($H$2="",NA(),IF(INDEX(CSV!$B:$B,$H$2+87)="",NA(),INDEX(CSV!$B:$B,$H$2+87)*1))</f>
        <v/>
      </c>
      <c r="K88">
        <f>IF($H$2="",NA(),IF(INDEX(CSV!$D:$D,$H$2+87)="",NA(),INDEX(CSV!$D:$D,$H$2+87)*1))</f>
        <v/>
      </c>
    </row>
    <row r="89">
      <c r="I89">
        <f>IF($H$2="",NA(),IF(INDEX(CSV!$A:$A,$H$2+88)="",NA(),INDEX(CSV!$A:$A,$H$2+88)*1))</f>
        <v/>
      </c>
      <c r="J89">
        <f>IF($H$2="",NA(),IF(INDEX(CSV!$B:$B,$H$2+88)="",NA(),INDEX(CSV!$B:$B,$H$2+88)*1))</f>
        <v/>
      </c>
      <c r="K89">
        <f>IF($H$2="",NA(),IF(INDEX(CSV!$D:$D,$H$2+88)="",NA(),INDEX(CSV!$D:$D,$H$2+88)*1))</f>
        <v/>
      </c>
    </row>
    <row r="90">
      <c r="I90">
        <f>IF($H$2="",NA(),IF(INDEX(CSV!$A:$A,$H$2+89)="",NA(),INDEX(CSV!$A:$A,$H$2+89)*1))</f>
        <v/>
      </c>
      <c r="J90">
        <f>IF($H$2="",NA(),IF(INDEX(CSV!$B:$B,$H$2+89)="",NA(),INDEX(CSV!$B:$B,$H$2+89)*1))</f>
        <v/>
      </c>
      <c r="K90">
        <f>IF($H$2="",NA(),IF(INDEX(CSV!$D:$D,$H$2+89)="",NA(),INDEX(CSV!$D:$D,$H$2+89)*1))</f>
        <v/>
      </c>
    </row>
    <row r="91">
      <c r="I91">
        <f>IF($H$2="",NA(),IF(INDEX(CSV!$A:$A,$H$2+90)="",NA(),INDEX(CSV!$A:$A,$H$2+90)*1))</f>
        <v/>
      </c>
      <c r="J91">
        <f>IF($H$2="",NA(),IF(INDEX(CSV!$B:$B,$H$2+90)="",NA(),INDEX(CSV!$B:$B,$H$2+90)*1))</f>
        <v/>
      </c>
      <c r="K91">
        <f>IF($H$2="",NA(),IF(INDEX(CSV!$D:$D,$H$2+90)="",NA(),INDEX(CSV!$D:$D,$H$2+90)*1))</f>
        <v/>
      </c>
    </row>
    <row r="92">
      <c r="I92">
        <f>IF($H$2="",NA(),IF(INDEX(CSV!$A:$A,$H$2+91)="",NA(),INDEX(CSV!$A:$A,$H$2+91)*1))</f>
        <v/>
      </c>
      <c r="J92">
        <f>IF($H$2="",NA(),IF(INDEX(CSV!$B:$B,$H$2+91)="",NA(),INDEX(CSV!$B:$B,$H$2+91)*1))</f>
        <v/>
      </c>
      <c r="K92">
        <f>IF($H$2="",NA(),IF(INDEX(CSV!$D:$D,$H$2+91)="",NA(),INDEX(CSV!$D:$D,$H$2+91)*1))</f>
        <v/>
      </c>
    </row>
    <row r="93">
      <c r="I93">
        <f>IF($H$2="",NA(),IF(INDEX(CSV!$A:$A,$H$2+92)="",NA(),INDEX(CSV!$A:$A,$H$2+92)*1))</f>
        <v/>
      </c>
      <c r="J93">
        <f>IF($H$2="",NA(),IF(INDEX(CSV!$B:$B,$H$2+92)="",NA(),INDEX(CSV!$B:$B,$H$2+92)*1))</f>
        <v/>
      </c>
      <c r="K93">
        <f>IF($H$2="",NA(),IF(INDEX(CSV!$D:$D,$H$2+92)="",NA(),INDEX(CSV!$D:$D,$H$2+92)*1))</f>
        <v/>
      </c>
    </row>
    <row r="94">
      <c r="I94">
        <f>IF($H$2="",NA(),IF(INDEX(CSV!$A:$A,$H$2+93)="",NA(),INDEX(CSV!$A:$A,$H$2+93)*1))</f>
        <v/>
      </c>
      <c r="J94">
        <f>IF($H$2="",NA(),IF(INDEX(CSV!$B:$B,$H$2+93)="",NA(),INDEX(CSV!$B:$B,$H$2+93)*1))</f>
        <v/>
      </c>
      <c r="K94">
        <f>IF($H$2="",NA(),IF(INDEX(CSV!$D:$D,$H$2+93)="",NA(),INDEX(CSV!$D:$D,$H$2+93)*1))</f>
        <v/>
      </c>
    </row>
    <row r="95">
      <c r="I95">
        <f>IF($H$2="",NA(),IF(INDEX(CSV!$A:$A,$H$2+94)="",NA(),INDEX(CSV!$A:$A,$H$2+94)*1))</f>
        <v/>
      </c>
      <c r="J95">
        <f>IF($H$2="",NA(),IF(INDEX(CSV!$B:$B,$H$2+94)="",NA(),INDEX(CSV!$B:$B,$H$2+94)*1))</f>
        <v/>
      </c>
      <c r="K95">
        <f>IF($H$2="",NA(),IF(INDEX(CSV!$D:$D,$H$2+94)="",NA(),INDEX(CSV!$D:$D,$H$2+94)*1))</f>
        <v/>
      </c>
    </row>
    <row r="96">
      <c r="I96">
        <f>IF($H$2="",NA(),IF(INDEX(CSV!$A:$A,$H$2+95)="",NA(),INDEX(CSV!$A:$A,$H$2+95)*1))</f>
        <v/>
      </c>
      <c r="J96">
        <f>IF($H$2="",NA(),IF(INDEX(CSV!$B:$B,$H$2+95)="",NA(),INDEX(CSV!$B:$B,$H$2+95)*1))</f>
        <v/>
      </c>
      <c r="K96">
        <f>IF($H$2="",NA(),IF(INDEX(CSV!$D:$D,$H$2+95)="",NA(),INDEX(CSV!$D:$D,$H$2+95)*1))</f>
        <v/>
      </c>
    </row>
    <row r="97">
      <c r="I97">
        <f>IF($H$2="",NA(),IF(INDEX(CSV!$A:$A,$H$2+96)="",NA(),INDEX(CSV!$A:$A,$H$2+96)*1))</f>
        <v/>
      </c>
      <c r="J97">
        <f>IF($H$2="",NA(),IF(INDEX(CSV!$B:$B,$H$2+96)="",NA(),INDEX(CSV!$B:$B,$H$2+96)*1))</f>
        <v/>
      </c>
      <c r="K97">
        <f>IF($H$2="",NA(),IF(INDEX(CSV!$D:$D,$H$2+96)="",NA(),INDEX(CSV!$D:$D,$H$2+96)*1))</f>
        <v/>
      </c>
    </row>
    <row r="98">
      <c r="I98">
        <f>IF($H$2="",NA(),IF(INDEX(CSV!$A:$A,$H$2+97)="",NA(),INDEX(CSV!$A:$A,$H$2+97)*1))</f>
        <v/>
      </c>
      <c r="J98">
        <f>IF($H$2="",NA(),IF(INDEX(CSV!$B:$B,$H$2+97)="",NA(),INDEX(CSV!$B:$B,$H$2+97)*1))</f>
        <v/>
      </c>
      <c r="K98">
        <f>IF($H$2="",NA(),IF(INDEX(CSV!$D:$D,$H$2+97)="",NA(),INDEX(CSV!$D:$D,$H$2+97)*1))</f>
        <v/>
      </c>
    </row>
    <row r="99">
      <c r="I99">
        <f>IF($H$2="",NA(),IF(INDEX(CSV!$A:$A,$H$2+98)="",NA(),INDEX(CSV!$A:$A,$H$2+98)*1))</f>
        <v/>
      </c>
      <c r="J99">
        <f>IF($H$2="",NA(),IF(INDEX(CSV!$B:$B,$H$2+98)="",NA(),INDEX(CSV!$B:$B,$H$2+98)*1))</f>
        <v/>
      </c>
      <c r="K99">
        <f>IF($H$2="",NA(),IF(INDEX(CSV!$D:$D,$H$2+98)="",NA(),INDEX(CSV!$D:$D,$H$2+98)*1))</f>
        <v/>
      </c>
    </row>
    <row r="100">
      <c r="I100">
        <f>IF($H$2="",NA(),IF(INDEX(CSV!$A:$A,$H$2+99)="",NA(),INDEX(CSV!$A:$A,$H$2+99)*1))</f>
        <v/>
      </c>
      <c r="J100">
        <f>IF($H$2="",NA(),IF(INDEX(CSV!$B:$B,$H$2+99)="",NA(),INDEX(CSV!$B:$B,$H$2+99)*1))</f>
        <v/>
      </c>
      <c r="K100">
        <f>IF($H$2="",NA(),IF(INDEX(CSV!$D:$D,$H$2+99)="",NA(),INDEX(CSV!$D:$D,$H$2+99)*1))</f>
        <v/>
      </c>
    </row>
    <row r="101">
      <c r="I101">
        <f>IF($H$2="",NA(),IF(INDEX(CSV!$A:$A,$H$2+100)="",NA(),INDEX(CSV!$A:$A,$H$2+100)*1))</f>
        <v/>
      </c>
      <c r="J101">
        <f>IF($H$2="",NA(),IF(INDEX(CSV!$B:$B,$H$2+100)="",NA(),INDEX(CSV!$B:$B,$H$2+100)*1))</f>
        <v/>
      </c>
      <c r="K101">
        <f>IF($H$2="",NA(),IF(INDEX(CSV!$D:$D,$H$2+100)="",NA(),INDEX(CSV!$D:$D,$H$2+100)*1))</f>
        <v/>
      </c>
    </row>
    <row r="102">
      <c r="I102">
        <f>IF($H$2="",NA(),IF(INDEX(CSV!$A:$A,$H$2+101)="",NA(),INDEX(CSV!$A:$A,$H$2+101)*1))</f>
        <v/>
      </c>
      <c r="J102">
        <f>IF($H$2="",NA(),IF(INDEX(CSV!$B:$B,$H$2+101)="",NA(),INDEX(CSV!$B:$B,$H$2+101)*1))</f>
        <v/>
      </c>
      <c r="K102">
        <f>IF($H$2="",NA(),IF(INDEX(CSV!$D:$D,$H$2+101)="",NA(),INDEX(CSV!$D:$D,$H$2+101)*1))</f>
        <v/>
      </c>
    </row>
    <row r="103">
      <c r="I103">
        <f>IF($H$2="",NA(),IF(INDEX(CSV!$A:$A,$H$2+102)="",NA(),INDEX(CSV!$A:$A,$H$2+102)*1))</f>
        <v/>
      </c>
      <c r="J103">
        <f>IF($H$2="",NA(),IF(INDEX(CSV!$B:$B,$H$2+102)="",NA(),INDEX(CSV!$B:$B,$H$2+102)*1))</f>
        <v/>
      </c>
      <c r="K103">
        <f>IF($H$2="",NA(),IF(INDEX(CSV!$D:$D,$H$2+102)="",NA(),INDEX(CSV!$D:$D,$H$2+102)*1))</f>
        <v/>
      </c>
    </row>
    <row r="104">
      <c r="I104">
        <f>IF($H$2="",NA(),IF(INDEX(CSV!$A:$A,$H$2+103)="",NA(),INDEX(CSV!$A:$A,$H$2+103)*1))</f>
        <v/>
      </c>
      <c r="J104">
        <f>IF($H$2="",NA(),IF(INDEX(CSV!$B:$B,$H$2+103)="",NA(),INDEX(CSV!$B:$B,$H$2+103)*1))</f>
        <v/>
      </c>
      <c r="K104">
        <f>IF($H$2="",NA(),IF(INDEX(CSV!$D:$D,$H$2+103)="",NA(),INDEX(CSV!$D:$D,$H$2+103)*1))</f>
        <v/>
      </c>
    </row>
    <row r="105">
      <c r="I105">
        <f>IF($H$2="",NA(),IF(INDEX(CSV!$A:$A,$H$2+104)="",NA(),INDEX(CSV!$A:$A,$H$2+104)*1))</f>
        <v/>
      </c>
      <c r="J105">
        <f>IF($H$2="",NA(),IF(INDEX(CSV!$B:$B,$H$2+104)="",NA(),INDEX(CSV!$B:$B,$H$2+104)*1))</f>
        <v/>
      </c>
      <c r="K105">
        <f>IF($H$2="",NA(),IF(INDEX(CSV!$D:$D,$H$2+104)="",NA(),INDEX(CSV!$D:$D,$H$2+104)*1))</f>
        <v/>
      </c>
    </row>
    <row r="106">
      <c r="I106">
        <f>IF($H$2="",NA(),IF(INDEX(CSV!$A:$A,$H$2+105)="",NA(),INDEX(CSV!$A:$A,$H$2+105)*1))</f>
        <v/>
      </c>
      <c r="J106">
        <f>IF($H$2="",NA(),IF(INDEX(CSV!$B:$B,$H$2+105)="",NA(),INDEX(CSV!$B:$B,$H$2+105)*1))</f>
        <v/>
      </c>
      <c r="K106">
        <f>IF($H$2="",NA(),IF(INDEX(CSV!$D:$D,$H$2+105)="",NA(),INDEX(CSV!$D:$D,$H$2+105)*1))</f>
        <v/>
      </c>
    </row>
    <row r="107">
      <c r="I107">
        <f>IF($H$2="",NA(),IF(INDEX(CSV!$A:$A,$H$2+106)="",NA(),INDEX(CSV!$A:$A,$H$2+106)*1))</f>
        <v/>
      </c>
      <c r="J107">
        <f>IF($H$2="",NA(),IF(INDEX(CSV!$B:$B,$H$2+106)="",NA(),INDEX(CSV!$B:$B,$H$2+106)*1))</f>
        <v/>
      </c>
      <c r="K107">
        <f>IF($H$2="",NA(),IF(INDEX(CSV!$D:$D,$H$2+106)="",NA(),INDEX(CSV!$D:$D,$H$2+106)*1))</f>
        <v/>
      </c>
    </row>
    <row r="108">
      <c r="I108">
        <f>IF($H$2="",NA(),IF(INDEX(CSV!$A:$A,$H$2+107)="",NA(),INDEX(CSV!$A:$A,$H$2+107)*1))</f>
        <v/>
      </c>
      <c r="J108">
        <f>IF($H$2="",NA(),IF(INDEX(CSV!$B:$B,$H$2+107)="",NA(),INDEX(CSV!$B:$B,$H$2+107)*1))</f>
        <v/>
      </c>
      <c r="K108">
        <f>IF($H$2="",NA(),IF(INDEX(CSV!$D:$D,$H$2+107)="",NA(),INDEX(CSV!$D:$D,$H$2+107)*1))</f>
        <v/>
      </c>
    </row>
    <row r="109">
      <c r="I109">
        <f>IF($H$2="",NA(),IF(INDEX(CSV!$A:$A,$H$2+108)="",NA(),INDEX(CSV!$A:$A,$H$2+108)*1))</f>
        <v/>
      </c>
      <c r="J109">
        <f>IF($H$2="",NA(),IF(INDEX(CSV!$B:$B,$H$2+108)="",NA(),INDEX(CSV!$B:$B,$H$2+108)*1))</f>
        <v/>
      </c>
      <c r="K109">
        <f>IF($H$2="",NA(),IF(INDEX(CSV!$D:$D,$H$2+108)="",NA(),INDEX(CSV!$D:$D,$H$2+108)*1))</f>
        <v/>
      </c>
    </row>
    <row r="110">
      <c r="I110">
        <f>IF($H$2="",NA(),IF(INDEX(CSV!$A:$A,$H$2+109)="",NA(),INDEX(CSV!$A:$A,$H$2+109)*1))</f>
        <v/>
      </c>
      <c r="J110">
        <f>IF($H$2="",NA(),IF(INDEX(CSV!$B:$B,$H$2+109)="",NA(),INDEX(CSV!$B:$B,$H$2+109)*1))</f>
        <v/>
      </c>
      <c r="K110">
        <f>IF($H$2="",NA(),IF(INDEX(CSV!$D:$D,$H$2+109)="",NA(),INDEX(CSV!$D:$D,$H$2+109)*1))</f>
        <v/>
      </c>
    </row>
    <row r="111">
      <c r="I111">
        <f>IF($H$2="",NA(),IF(INDEX(CSV!$A:$A,$H$2+110)="",NA(),INDEX(CSV!$A:$A,$H$2+110)*1))</f>
        <v/>
      </c>
      <c r="J111">
        <f>IF($H$2="",NA(),IF(INDEX(CSV!$B:$B,$H$2+110)="",NA(),INDEX(CSV!$B:$B,$H$2+110)*1))</f>
        <v/>
      </c>
      <c r="K111">
        <f>IF($H$2="",NA(),IF(INDEX(CSV!$D:$D,$H$2+110)="",NA(),INDEX(CSV!$D:$D,$H$2+110)*1))</f>
        <v/>
      </c>
    </row>
    <row r="112">
      <c r="I112">
        <f>IF($H$2="",NA(),IF(INDEX(CSV!$A:$A,$H$2+111)="",NA(),INDEX(CSV!$A:$A,$H$2+111)*1))</f>
        <v/>
      </c>
      <c r="J112">
        <f>IF($H$2="",NA(),IF(INDEX(CSV!$B:$B,$H$2+111)="",NA(),INDEX(CSV!$B:$B,$H$2+111)*1))</f>
        <v/>
      </c>
      <c r="K112">
        <f>IF($H$2="",NA(),IF(INDEX(CSV!$D:$D,$H$2+111)="",NA(),INDEX(CSV!$D:$D,$H$2+111)*1))</f>
        <v/>
      </c>
    </row>
    <row r="113">
      <c r="I113">
        <f>IF($H$2="",NA(),IF(INDEX(CSV!$A:$A,$H$2+112)="",NA(),INDEX(CSV!$A:$A,$H$2+112)*1))</f>
        <v/>
      </c>
      <c r="J113">
        <f>IF($H$2="",NA(),IF(INDEX(CSV!$B:$B,$H$2+112)="",NA(),INDEX(CSV!$B:$B,$H$2+112)*1))</f>
        <v/>
      </c>
      <c r="K113">
        <f>IF($H$2="",NA(),IF(INDEX(CSV!$D:$D,$H$2+112)="",NA(),INDEX(CSV!$D:$D,$H$2+112)*1))</f>
        <v/>
      </c>
    </row>
    <row r="114">
      <c r="I114">
        <f>IF($H$2="",NA(),IF(INDEX(CSV!$A:$A,$H$2+113)="",NA(),INDEX(CSV!$A:$A,$H$2+113)*1))</f>
        <v/>
      </c>
      <c r="J114">
        <f>IF($H$2="",NA(),IF(INDEX(CSV!$B:$B,$H$2+113)="",NA(),INDEX(CSV!$B:$B,$H$2+113)*1))</f>
        <v/>
      </c>
      <c r="K114">
        <f>IF($H$2="",NA(),IF(INDEX(CSV!$D:$D,$H$2+113)="",NA(),INDEX(CSV!$D:$D,$H$2+113)*1))</f>
        <v/>
      </c>
    </row>
    <row r="115">
      <c r="I115">
        <f>IF($H$2="",NA(),IF(INDEX(CSV!$A:$A,$H$2+114)="",NA(),INDEX(CSV!$A:$A,$H$2+114)*1))</f>
        <v/>
      </c>
      <c r="J115">
        <f>IF($H$2="",NA(),IF(INDEX(CSV!$B:$B,$H$2+114)="",NA(),INDEX(CSV!$B:$B,$H$2+114)*1))</f>
        <v/>
      </c>
      <c r="K115">
        <f>IF($H$2="",NA(),IF(INDEX(CSV!$D:$D,$H$2+114)="",NA(),INDEX(CSV!$D:$D,$H$2+114)*1))</f>
        <v/>
      </c>
    </row>
    <row r="116">
      <c r="I116">
        <f>IF($H$2="",NA(),IF(INDEX(CSV!$A:$A,$H$2+115)="",NA(),INDEX(CSV!$A:$A,$H$2+115)*1))</f>
        <v/>
      </c>
      <c r="J116">
        <f>IF($H$2="",NA(),IF(INDEX(CSV!$B:$B,$H$2+115)="",NA(),INDEX(CSV!$B:$B,$H$2+115)*1))</f>
        <v/>
      </c>
      <c r="K116">
        <f>IF($H$2="",NA(),IF(INDEX(CSV!$D:$D,$H$2+115)="",NA(),INDEX(CSV!$D:$D,$H$2+115)*1))</f>
        <v/>
      </c>
    </row>
    <row r="117">
      <c r="I117">
        <f>IF($H$2="",NA(),IF(INDEX(CSV!$A:$A,$H$2+116)="",NA(),INDEX(CSV!$A:$A,$H$2+116)*1))</f>
        <v/>
      </c>
      <c r="J117">
        <f>IF($H$2="",NA(),IF(INDEX(CSV!$B:$B,$H$2+116)="",NA(),INDEX(CSV!$B:$B,$H$2+116)*1))</f>
        <v/>
      </c>
      <c r="K117">
        <f>IF($H$2="",NA(),IF(INDEX(CSV!$D:$D,$H$2+116)="",NA(),INDEX(CSV!$D:$D,$H$2+116)*1))</f>
        <v/>
      </c>
    </row>
    <row r="118">
      <c r="I118">
        <f>IF($H$2="",NA(),IF(INDEX(CSV!$A:$A,$H$2+117)="",NA(),INDEX(CSV!$A:$A,$H$2+117)*1))</f>
        <v/>
      </c>
      <c r="J118">
        <f>IF($H$2="",NA(),IF(INDEX(CSV!$B:$B,$H$2+117)="",NA(),INDEX(CSV!$B:$B,$H$2+117)*1))</f>
        <v/>
      </c>
      <c r="K118">
        <f>IF($H$2="",NA(),IF(INDEX(CSV!$D:$D,$H$2+117)="",NA(),INDEX(CSV!$D:$D,$H$2+117)*1))</f>
        <v/>
      </c>
    </row>
    <row r="119">
      <c r="I119">
        <f>IF($H$2="",NA(),IF(INDEX(CSV!$A:$A,$H$2+118)="",NA(),INDEX(CSV!$A:$A,$H$2+118)*1))</f>
        <v/>
      </c>
      <c r="J119">
        <f>IF($H$2="",NA(),IF(INDEX(CSV!$B:$B,$H$2+118)="",NA(),INDEX(CSV!$B:$B,$H$2+118)*1))</f>
        <v/>
      </c>
      <c r="K119">
        <f>IF($H$2="",NA(),IF(INDEX(CSV!$D:$D,$H$2+118)="",NA(),INDEX(CSV!$D:$D,$H$2+118)*1))</f>
        <v/>
      </c>
    </row>
    <row r="120">
      <c r="I120">
        <f>IF($H$2="",NA(),IF(INDEX(CSV!$A:$A,$H$2+119)="",NA(),INDEX(CSV!$A:$A,$H$2+119)*1))</f>
        <v/>
      </c>
      <c r="J120">
        <f>IF($H$2="",NA(),IF(INDEX(CSV!$B:$B,$H$2+119)="",NA(),INDEX(CSV!$B:$B,$H$2+119)*1))</f>
        <v/>
      </c>
      <c r="K120">
        <f>IF($H$2="",NA(),IF(INDEX(CSV!$D:$D,$H$2+119)="",NA(),INDEX(CSV!$D:$D,$H$2+119)*1))</f>
        <v/>
      </c>
    </row>
    <row r="121">
      <c r="I121">
        <f>IF($H$2="",NA(),IF(INDEX(CSV!$A:$A,$H$2+120)="",NA(),INDEX(CSV!$A:$A,$H$2+120)*1))</f>
        <v/>
      </c>
      <c r="J121">
        <f>IF($H$2="",NA(),IF(INDEX(CSV!$B:$B,$H$2+120)="",NA(),INDEX(CSV!$B:$B,$H$2+120)*1))</f>
        <v/>
      </c>
      <c r="K121">
        <f>IF($H$2="",NA(),IF(INDEX(CSV!$D:$D,$H$2+120)="",NA(),INDEX(CSV!$D:$D,$H$2+120)*1))</f>
        <v/>
      </c>
    </row>
    <row r="122">
      <c r="I122">
        <f>IF($H$2="",NA(),IF(INDEX(CSV!$A:$A,$H$2+121)="",NA(),INDEX(CSV!$A:$A,$H$2+121)*1))</f>
        <v/>
      </c>
      <c r="J122">
        <f>IF($H$2="",NA(),IF(INDEX(CSV!$B:$B,$H$2+121)="",NA(),INDEX(CSV!$B:$B,$H$2+121)*1))</f>
        <v/>
      </c>
      <c r="K122">
        <f>IF($H$2="",NA(),IF(INDEX(CSV!$D:$D,$H$2+121)="",NA(),INDEX(CSV!$D:$D,$H$2+121)*1))</f>
        <v/>
      </c>
    </row>
    <row r="123">
      <c r="I123">
        <f>IF($H$2="",NA(),IF(INDEX(CSV!$A:$A,$H$2+122)="",NA(),INDEX(CSV!$A:$A,$H$2+122)*1))</f>
        <v/>
      </c>
      <c r="J123">
        <f>IF($H$2="",NA(),IF(INDEX(CSV!$B:$B,$H$2+122)="",NA(),INDEX(CSV!$B:$B,$H$2+122)*1))</f>
        <v/>
      </c>
      <c r="K123">
        <f>IF($H$2="",NA(),IF(INDEX(CSV!$D:$D,$H$2+122)="",NA(),INDEX(CSV!$D:$D,$H$2+122)*1))</f>
        <v/>
      </c>
    </row>
    <row r="124">
      <c r="I124">
        <f>IF($H$2="",NA(),IF(INDEX(CSV!$A:$A,$H$2+123)="",NA(),INDEX(CSV!$A:$A,$H$2+123)*1))</f>
        <v/>
      </c>
      <c r="J124">
        <f>IF($H$2="",NA(),IF(INDEX(CSV!$B:$B,$H$2+123)="",NA(),INDEX(CSV!$B:$B,$H$2+123)*1))</f>
        <v/>
      </c>
      <c r="K124">
        <f>IF($H$2="",NA(),IF(INDEX(CSV!$D:$D,$H$2+123)="",NA(),INDEX(CSV!$D:$D,$H$2+123)*1))</f>
        <v/>
      </c>
    </row>
    <row r="125">
      <c r="I125">
        <f>IF($H$2="",NA(),IF(INDEX(CSV!$A:$A,$H$2+124)="",NA(),INDEX(CSV!$A:$A,$H$2+124)*1))</f>
        <v/>
      </c>
      <c r="J125">
        <f>IF($H$2="",NA(),IF(INDEX(CSV!$B:$B,$H$2+124)="",NA(),INDEX(CSV!$B:$B,$H$2+124)*1))</f>
        <v/>
      </c>
      <c r="K125">
        <f>IF($H$2="",NA(),IF(INDEX(CSV!$D:$D,$H$2+124)="",NA(),INDEX(CSV!$D:$D,$H$2+124)*1))</f>
        <v/>
      </c>
    </row>
    <row r="126">
      <c r="I126">
        <f>IF($H$2="",NA(),IF(INDEX(CSV!$A:$A,$H$2+125)="",NA(),INDEX(CSV!$A:$A,$H$2+125)*1))</f>
        <v/>
      </c>
      <c r="J126">
        <f>IF($H$2="",NA(),IF(INDEX(CSV!$B:$B,$H$2+125)="",NA(),INDEX(CSV!$B:$B,$H$2+125)*1))</f>
        <v/>
      </c>
      <c r="K126">
        <f>IF($H$2="",NA(),IF(INDEX(CSV!$D:$D,$H$2+125)="",NA(),INDEX(CSV!$D:$D,$H$2+125)*1))</f>
        <v/>
      </c>
    </row>
    <row r="127">
      <c r="I127">
        <f>IF($H$2="",NA(),IF(INDEX(CSV!$A:$A,$H$2+126)="",NA(),INDEX(CSV!$A:$A,$H$2+126)*1))</f>
        <v/>
      </c>
      <c r="J127">
        <f>IF($H$2="",NA(),IF(INDEX(CSV!$B:$B,$H$2+126)="",NA(),INDEX(CSV!$B:$B,$H$2+126)*1))</f>
        <v/>
      </c>
      <c r="K127">
        <f>IF($H$2="",NA(),IF(INDEX(CSV!$D:$D,$H$2+126)="",NA(),INDEX(CSV!$D:$D,$H$2+126)*1))</f>
        <v/>
      </c>
    </row>
    <row r="128">
      <c r="I128">
        <f>IF($H$2="",NA(),IF(INDEX(CSV!$A:$A,$H$2+127)="",NA(),INDEX(CSV!$A:$A,$H$2+127)*1))</f>
        <v/>
      </c>
      <c r="J128">
        <f>IF($H$2="",NA(),IF(INDEX(CSV!$B:$B,$H$2+127)="",NA(),INDEX(CSV!$B:$B,$H$2+127)*1))</f>
        <v/>
      </c>
      <c r="K128">
        <f>IF($H$2="",NA(),IF(INDEX(CSV!$D:$D,$H$2+127)="",NA(),INDEX(CSV!$D:$D,$H$2+127)*1))</f>
        <v/>
      </c>
    </row>
    <row r="129">
      <c r="I129">
        <f>IF($H$2="",NA(),IF(INDEX(CSV!$A:$A,$H$2+128)="",NA(),INDEX(CSV!$A:$A,$H$2+128)*1))</f>
        <v/>
      </c>
      <c r="J129">
        <f>IF($H$2="",NA(),IF(INDEX(CSV!$B:$B,$H$2+128)="",NA(),INDEX(CSV!$B:$B,$H$2+128)*1))</f>
        <v/>
      </c>
      <c r="K129">
        <f>IF($H$2="",NA(),IF(INDEX(CSV!$D:$D,$H$2+128)="",NA(),INDEX(CSV!$D:$D,$H$2+128)*1))</f>
        <v/>
      </c>
    </row>
    <row r="130">
      <c r="I130">
        <f>IF($H$2="",NA(),IF(INDEX(CSV!$A:$A,$H$2+129)="",NA(),INDEX(CSV!$A:$A,$H$2+129)*1))</f>
        <v/>
      </c>
      <c r="J130">
        <f>IF($H$2="",NA(),IF(INDEX(CSV!$B:$B,$H$2+129)="",NA(),INDEX(CSV!$B:$B,$H$2+129)*1))</f>
        <v/>
      </c>
      <c r="K130">
        <f>IF($H$2="",NA(),IF(INDEX(CSV!$D:$D,$H$2+129)="",NA(),INDEX(CSV!$D:$D,$H$2+129)*1))</f>
        <v/>
      </c>
    </row>
    <row r="131">
      <c r="I131">
        <f>IF($H$2="",NA(),IF(INDEX(CSV!$A:$A,$H$2+130)="",NA(),INDEX(CSV!$A:$A,$H$2+130)*1))</f>
        <v/>
      </c>
      <c r="J131">
        <f>IF($H$2="",NA(),IF(INDEX(CSV!$B:$B,$H$2+130)="",NA(),INDEX(CSV!$B:$B,$H$2+130)*1))</f>
        <v/>
      </c>
      <c r="K131">
        <f>IF($H$2="",NA(),IF(INDEX(CSV!$D:$D,$H$2+130)="",NA(),INDEX(CSV!$D:$D,$H$2+130)*1))</f>
        <v/>
      </c>
    </row>
    <row r="132">
      <c r="I132">
        <f>IF($H$2="",NA(),IF(INDEX(CSV!$A:$A,$H$2+131)="",NA(),INDEX(CSV!$A:$A,$H$2+131)*1))</f>
        <v/>
      </c>
      <c r="J132">
        <f>IF($H$2="",NA(),IF(INDEX(CSV!$B:$B,$H$2+131)="",NA(),INDEX(CSV!$B:$B,$H$2+131)*1))</f>
        <v/>
      </c>
      <c r="K132">
        <f>IF($H$2="",NA(),IF(INDEX(CSV!$D:$D,$H$2+131)="",NA(),INDEX(CSV!$D:$D,$H$2+131)*1))</f>
        <v/>
      </c>
    </row>
    <row r="133">
      <c r="I133">
        <f>IF($H$2="",NA(),IF(INDEX(CSV!$A:$A,$H$2+132)="",NA(),INDEX(CSV!$A:$A,$H$2+132)*1))</f>
        <v/>
      </c>
      <c r="J133">
        <f>IF($H$2="",NA(),IF(INDEX(CSV!$B:$B,$H$2+132)="",NA(),INDEX(CSV!$B:$B,$H$2+132)*1))</f>
        <v/>
      </c>
      <c r="K133">
        <f>IF($H$2="",NA(),IF(INDEX(CSV!$D:$D,$H$2+132)="",NA(),INDEX(CSV!$D:$D,$H$2+132)*1))</f>
        <v/>
      </c>
    </row>
    <row r="134">
      <c r="I134">
        <f>IF($H$2="",NA(),IF(INDEX(CSV!$A:$A,$H$2+133)="",NA(),INDEX(CSV!$A:$A,$H$2+133)*1))</f>
        <v/>
      </c>
      <c r="J134">
        <f>IF($H$2="",NA(),IF(INDEX(CSV!$B:$B,$H$2+133)="",NA(),INDEX(CSV!$B:$B,$H$2+133)*1))</f>
        <v/>
      </c>
      <c r="K134">
        <f>IF($H$2="",NA(),IF(INDEX(CSV!$D:$D,$H$2+133)="",NA(),INDEX(CSV!$D:$D,$H$2+133)*1))</f>
        <v/>
      </c>
    </row>
    <row r="135">
      <c r="I135">
        <f>IF($H$2="",NA(),IF(INDEX(CSV!$A:$A,$H$2+134)="",NA(),INDEX(CSV!$A:$A,$H$2+134)*1))</f>
        <v/>
      </c>
      <c r="J135">
        <f>IF($H$2="",NA(),IF(INDEX(CSV!$B:$B,$H$2+134)="",NA(),INDEX(CSV!$B:$B,$H$2+134)*1))</f>
        <v/>
      </c>
      <c r="K135">
        <f>IF($H$2="",NA(),IF(INDEX(CSV!$D:$D,$H$2+134)="",NA(),INDEX(CSV!$D:$D,$H$2+134)*1))</f>
        <v/>
      </c>
    </row>
    <row r="136">
      <c r="I136">
        <f>IF($H$2="",NA(),IF(INDEX(CSV!$A:$A,$H$2+135)="",NA(),INDEX(CSV!$A:$A,$H$2+135)*1))</f>
        <v/>
      </c>
      <c r="J136">
        <f>IF($H$2="",NA(),IF(INDEX(CSV!$B:$B,$H$2+135)="",NA(),INDEX(CSV!$B:$B,$H$2+135)*1))</f>
        <v/>
      </c>
      <c r="K136">
        <f>IF($H$2="",NA(),IF(INDEX(CSV!$D:$D,$H$2+135)="",NA(),INDEX(CSV!$D:$D,$H$2+135)*1))</f>
        <v/>
      </c>
    </row>
    <row r="137">
      <c r="I137">
        <f>IF($H$2="",NA(),IF(INDEX(CSV!$A:$A,$H$2+136)="",NA(),INDEX(CSV!$A:$A,$H$2+136)*1))</f>
        <v/>
      </c>
      <c r="J137">
        <f>IF($H$2="",NA(),IF(INDEX(CSV!$B:$B,$H$2+136)="",NA(),INDEX(CSV!$B:$B,$H$2+136)*1))</f>
        <v/>
      </c>
      <c r="K137">
        <f>IF($H$2="",NA(),IF(INDEX(CSV!$D:$D,$H$2+136)="",NA(),INDEX(CSV!$D:$D,$H$2+136)*1))</f>
        <v/>
      </c>
    </row>
    <row r="138">
      <c r="I138">
        <f>IF($H$2="",NA(),IF(INDEX(CSV!$A:$A,$H$2+137)="",NA(),INDEX(CSV!$A:$A,$H$2+137)*1))</f>
        <v/>
      </c>
      <c r="J138">
        <f>IF($H$2="",NA(),IF(INDEX(CSV!$B:$B,$H$2+137)="",NA(),INDEX(CSV!$B:$B,$H$2+137)*1))</f>
        <v/>
      </c>
      <c r="K138">
        <f>IF($H$2="",NA(),IF(INDEX(CSV!$D:$D,$H$2+137)="",NA(),INDEX(CSV!$D:$D,$H$2+137)*1))</f>
        <v/>
      </c>
    </row>
    <row r="139">
      <c r="I139">
        <f>IF($H$2="",NA(),IF(INDEX(CSV!$A:$A,$H$2+138)="",NA(),INDEX(CSV!$A:$A,$H$2+138)*1))</f>
        <v/>
      </c>
      <c r="J139">
        <f>IF($H$2="",NA(),IF(INDEX(CSV!$B:$B,$H$2+138)="",NA(),INDEX(CSV!$B:$B,$H$2+138)*1))</f>
        <v/>
      </c>
      <c r="K139">
        <f>IF($H$2="",NA(),IF(INDEX(CSV!$D:$D,$H$2+138)="",NA(),INDEX(CSV!$D:$D,$H$2+138)*1))</f>
        <v/>
      </c>
    </row>
    <row r="140">
      <c r="I140">
        <f>IF($H$2="",NA(),IF(INDEX(CSV!$A:$A,$H$2+139)="",NA(),INDEX(CSV!$A:$A,$H$2+139)*1))</f>
        <v/>
      </c>
      <c r="J140">
        <f>IF($H$2="",NA(),IF(INDEX(CSV!$B:$B,$H$2+139)="",NA(),INDEX(CSV!$B:$B,$H$2+139)*1))</f>
        <v/>
      </c>
      <c r="K140">
        <f>IF($H$2="",NA(),IF(INDEX(CSV!$D:$D,$H$2+139)="",NA(),INDEX(CSV!$D:$D,$H$2+139)*1))</f>
        <v/>
      </c>
    </row>
    <row r="141">
      <c r="I141">
        <f>IF($H$2="",NA(),IF(INDEX(CSV!$A:$A,$H$2+140)="",NA(),INDEX(CSV!$A:$A,$H$2+140)*1))</f>
        <v/>
      </c>
      <c r="J141">
        <f>IF($H$2="",NA(),IF(INDEX(CSV!$B:$B,$H$2+140)="",NA(),INDEX(CSV!$B:$B,$H$2+140)*1))</f>
        <v/>
      </c>
      <c r="K141">
        <f>IF($H$2="",NA(),IF(INDEX(CSV!$D:$D,$H$2+140)="",NA(),INDEX(CSV!$D:$D,$H$2+140)*1))</f>
        <v/>
      </c>
    </row>
    <row r="142">
      <c r="I142">
        <f>IF($H$2="",NA(),IF(INDEX(CSV!$A:$A,$H$2+141)="",NA(),INDEX(CSV!$A:$A,$H$2+141)*1))</f>
        <v/>
      </c>
      <c r="J142">
        <f>IF($H$2="",NA(),IF(INDEX(CSV!$B:$B,$H$2+141)="",NA(),INDEX(CSV!$B:$B,$H$2+141)*1))</f>
        <v/>
      </c>
      <c r="K142">
        <f>IF($H$2="",NA(),IF(INDEX(CSV!$D:$D,$H$2+141)="",NA(),INDEX(CSV!$D:$D,$H$2+141)*1))</f>
        <v/>
      </c>
    </row>
    <row r="143">
      <c r="I143">
        <f>IF($H$2="",NA(),IF(INDEX(CSV!$A:$A,$H$2+142)="",NA(),INDEX(CSV!$A:$A,$H$2+142)*1))</f>
        <v/>
      </c>
      <c r="J143">
        <f>IF($H$2="",NA(),IF(INDEX(CSV!$B:$B,$H$2+142)="",NA(),INDEX(CSV!$B:$B,$H$2+142)*1))</f>
        <v/>
      </c>
      <c r="K143">
        <f>IF($H$2="",NA(),IF(INDEX(CSV!$D:$D,$H$2+142)="",NA(),INDEX(CSV!$D:$D,$H$2+142)*1))</f>
        <v/>
      </c>
    </row>
    <row r="144">
      <c r="I144">
        <f>IF($H$2="",NA(),IF(INDEX(CSV!$A:$A,$H$2+143)="",NA(),INDEX(CSV!$A:$A,$H$2+143)*1))</f>
        <v/>
      </c>
      <c r="J144">
        <f>IF($H$2="",NA(),IF(INDEX(CSV!$B:$B,$H$2+143)="",NA(),INDEX(CSV!$B:$B,$H$2+143)*1))</f>
        <v/>
      </c>
      <c r="K144">
        <f>IF($H$2="",NA(),IF(INDEX(CSV!$D:$D,$H$2+143)="",NA(),INDEX(CSV!$D:$D,$H$2+143)*1))</f>
        <v/>
      </c>
    </row>
    <row r="145">
      <c r="I145">
        <f>IF($H$2="",NA(),IF(INDEX(CSV!$A:$A,$H$2+144)="",NA(),INDEX(CSV!$A:$A,$H$2+144)*1))</f>
        <v/>
      </c>
      <c r="J145">
        <f>IF($H$2="",NA(),IF(INDEX(CSV!$B:$B,$H$2+144)="",NA(),INDEX(CSV!$B:$B,$H$2+144)*1))</f>
        <v/>
      </c>
      <c r="K145">
        <f>IF($H$2="",NA(),IF(INDEX(CSV!$D:$D,$H$2+144)="",NA(),INDEX(CSV!$D:$D,$H$2+144)*1))</f>
        <v/>
      </c>
    </row>
    <row r="146">
      <c r="I146">
        <f>IF($H$2="",NA(),IF(INDEX(CSV!$A:$A,$H$2+145)="",NA(),INDEX(CSV!$A:$A,$H$2+145)*1))</f>
        <v/>
      </c>
      <c r="J146">
        <f>IF($H$2="",NA(),IF(INDEX(CSV!$B:$B,$H$2+145)="",NA(),INDEX(CSV!$B:$B,$H$2+145)*1))</f>
        <v/>
      </c>
      <c r="K146">
        <f>IF($H$2="",NA(),IF(INDEX(CSV!$D:$D,$H$2+145)="",NA(),INDEX(CSV!$D:$D,$H$2+145)*1))</f>
        <v/>
      </c>
    </row>
    <row r="147">
      <c r="I147">
        <f>IF($H$2="",NA(),IF(INDEX(CSV!$A:$A,$H$2+146)="",NA(),INDEX(CSV!$A:$A,$H$2+146)*1))</f>
        <v/>
      </c>
      <c r="J147">
        <f>IF($H$2="",NA(),IF(INDEX(CSV!$B:$B,$H$2+146)="",NA(),INDEX(CSV!$B:$B,$H$2+146)*1))</f>
        <v/>
      </c>
      <c r="K147">
        <f>IF($H$2="",NA(),IF(INDEX(CSV!$D:$D,$H$2+146)="",NA(),INDEX(CSV!$D:$D,$H$2+146)*1))</f>
        <v/>
      </c>
    </row>
    <row r="148">
      <c r="I148">
        <f>IF($H$2="",NA(),IF(INDEX(CSV!$A:$A,$H$2+147)="",NA(),INDEX(CSV!$A:$A,$H$2+147)*1))</f>
        <v/>
      </c>
      <c r="J148">
        <f>IF($H$2="",NA(),IF(INDEX(CSV!$B:$B,$H$2+147)="",NA(),INDEX(CSV!$B:$B,$H$2+147)*1))</f>
        <v/>
      </c>
      <c r="K148">
        <f>IF($H$2="",NA(),IF(INDEX(CSV!$D:$D,$H$2+147)="",NA(),INDEX(CSV!$D:$D,$H$2+147)*1))</f>
        <v/>
      </c>
    </row>
    <row r="149">
      <c r="I149">
        <f>IF($H$2="",NA(),IF(INDEX(CSV!$A:$A,$H$2+148)="",NA(),INDEX(CSV!$A:$A,$H$2+148)*1))</f>
        <v/>
      </c>
      <c r="J149">
        <f>IF($H$2="",NA(),IF(INDEX(CSV!$B:$B,$H$2+148)="",NA(),INDEX(CSV!$B:$B,$H$2+148)*1))</f>
        <v/>
      </c>
      <c r="K149">
        <f>IF($H$2="",NA(),IF(INDEX(CSV!$D:$D,$H$2+148)="",NA(),INDEX(CSV!$D:$D,$H$2+148)*1))</f>
        <v/>
      </c>
    </row>
    <row r="150">
      <c r="I150">
        <f>IF($H$2="",NA(),IF(INDEX(CSV!$A:$A,$H$2+149)="",NA(),INDEX(CSV!$A:$A,$H$2+149)*1))</f>
        <v/>
      </c>
      <c r="J150">
        <f>IF($H$2="",NA(),IF(INDEX(CSV!$B:$B,$H$2+149)="",NA(),INDEX(CSV!$B:$B,$H$2+149)*1))</f>
        <v/>
      </c>
      <c r="K150">
        <f>IF($H$2="",NA(),IF(INDEX(CSV!$D:$D,$H$2+149)="",NA(),INDEX(CSV!$D:$D,$H$2+149)*1))</f>
        <v/>
      </c>
    </row>
    <row r="151">
      <c r="I151">
        <f>IF($H$2="",NA(),IF(INDEX(CSV!$A:$A,$H$2+150)="",NA(),INDEX(CSV!$A:$A,$H$2+150)*1))</f>
        <v/>
      </c>
      <c r="J151">
        <f>IF($H$2="",NA(),IF(INDEX(CSV!$B:$B,$H$2+150)="",NA(),INDEX(CSV!$B:$B,$H$2+150)*1))</f>
        <v/>
      </c>
      <c r="K151">
        <f>IF($H$2="",NA(),IF(INDEX(CSV!$D:$D,$H$2+150)="",NA(),INDEX(CSV!$D:$D,$H$2+150)*1))</f>
        <v/>
      </c>
    </row>
    <row r="152">
      <c r="I152">
        <f>IF($H$2="",NA(),IF(INDEX(CSV!$A:$A,$H$2+151)="",NA(),INDEX(CSV!$A:$A,$H$2+151)*1))</f>
        <v/>
      </c>
      <c r="J152">
        <f>IF($H$2="",NA(),IF(INDEX(CSV!$B:$B,$H$2+151)="",NA(),INDEX(CSV!$B:$B,$H$2+151)*1))</f>
        <v/>
      </c>
      <c r="K152">
        <f>IF($H$2="",NA(),IF(INDEX(CSV!$D:$D,$H$2+151)="",NA(),INDEX(CSV!$D:$D,$H$2+151)*1))</f>
        <v/>
      </c>
    </row>
    <row r="153">
      <c r="I153">
        <f>IF($H$2="",NA(),IF(INDEX(CSV!$A:$A,$H$2+152)="",NA(),INDEX(CSV!$A:$A,$H$2+152)*1))</f>
        <v/>
      </c>
      <c r="J153">
        <f>IF($H$2="",NA(),IF(INDEX(CSV!$B:$B,$H$2+152)="",NA(),INDEX(CSV!$B:$B,$H$2+152)*1))</f>
        <v/>
      </c>
      <c r="K153">
        <f>IF($H$2="",NA(),IF(INDEX(CSV!$D:$D,$H$2+152)="",NA(),INDEX(CSV!$D:$D,$H$2+152)*1))</f>
        <v/>
      </c>
    </row>
    <row r="154">
      <c r="I154">
        <f>IF($H$2="",NA(),IF(INDEX(CSV!$A:$A,$H$2+153)="",NA(),INDEX(CSV!$A:$A,$H$2+153)*1))</f>
        <v/>
      </c>
      <c r="J154">
        <f>IF($H$2="",NA(),IF(INDEX(CSV!$B:$B,$H$2+153)="",NA(),INDEX(CSV!$B:$B,$H$2+153)*1))</f>
        <v/>
      </c>
      <c r="K154">
        <f>IF($H$2="",NA(),IF(INDEX(CSV!$D:$D,$H$2+153)="",NA(),INDEX(CSV!$D:$D,$H$2+153)*1))</f>
        <v/>
      </c>
    </row>
    <row r="155">
      <c r="I155">
        <f>IF($H$2="",NA(),IF(INDEX(CSV!$A:$A,$H$2+154)="",NA(),INDEX(CSV!$A:$A,$H$2+154)*1))</f>
        <v/>
      </c>
      <c r="J155">
        <f>IF($H$2="",NA(),IF(INDEX(CSV!$B:$B,$H$2+154)="",NA(),INDEX(CSV!$B:$B,$H$2+154)*1))</f>
        <v/>
      </c>
      <c r="K155">
        <f>IF($H$2="",NA(),IF(INDEX(CSV!$D:$D,$H$2+154)="",NA(),INDEX(CSV!$D:$D,$H$2+154)*1))</f>
        <v/>
      </c>
    </row>
    <row r="156">
      <c r="I156">
        <f>IF($H$2="",NA(),IF(INDEX(CSV!$A:$A,$H$2+155)="",NA(),INDEX(CSV!$A:$A,$H$2+155)*1))</f>
        <v/>
      </c>
      <c r="J156">
        <f>IF($H$2="",NA(),IF(INDEX(CSV!$B:$B,$H$2+155)="",NA(),INDEX(CSV!$B:$B,$H$2+155)*1))</f>
        <v/>
      </c>
      <c r="K156">
        <f>IF($H$2="",NA(),IF(INDEX(CSV!$D:$D,$H$2+155)="",NA(),INDEX(CSV!$D:$D,$H$2+155)*1))</f>
        <v/>
      </c>
    </row>
    <row r="157">
      <c r="I157">
        <f>IF($H$2="",NA(),IF(INDEX(CSV!$A:$A,$H$2+156)="",NA(),INDEX(CSV!$A:$A,$H$2+156)*1))</f>
        <v/>
      </c>
      <c r="J157">
        <f>IF($H$2="",NA(),IF(INDEX(CSV!$B:$B,$H$2+156)="",NA(),INDEX(CSV!$B:$B,$H$2+156)*1))</f>
        <v/>
      </c>
      <c r="K157">
        <f>IF($H$2="",NA(),IF(INDEX(CSV!$D:$D,$H$2+156)="",NA(),INDEX(CSV!$D:$D,$H$2+156)*1))</f>
        <v/>
      </c>
    </row>
    <row r="158">
      <c r="I158">
        <f>IF($H$2="",NA(),IF(INDEX(CSV!$A:$A,$H$2+157)="",NA(),INDEX(CSV!$A:$A,$H$2+157)*1))</f>
        <v/>
      </c>
      <c r="J158">
        <f>IF($H$2="",NA(),IF(INDEX(CSV!$B:$B,$H$2+157)="",NA(),INDEX(CSV!$B:$B,$H$2+157)*1))</f>
        <v/>
      </c>
      <c r="K158">
        <f>IF($H$2="",NA(),IF(INDEX(CSV!$D:$D,$H$2+157)="",NA(),INDEX(CSV!$D:$D,$H$2+157)*1))</f>
        <v/>
      </c>
    </row>
    <row r="159">
      <c r="I159">
        <f>IF($H$2="",NA(),IF(INDEX(CSV!$A:$A,$H$2+158)="",NA(),INDEX(CSV!$A:$A,$H$2+158)*1))</f>
        <v/>
      </c>
      <c r="J159">
        <f>IF($H$2="",NA(),IF(INDEX(CSV!$B:$B,$H$2+158)="",NA(),INDEX(CSV!$B:$B,$H$2+158)*1))</f>
        <v/>
      </c>
      <c r="K159">
        <f>IF($H$2="",NA(),IF(INDEX(CSV!$D:$D,$H$2+158)="",NA(),INDEX(CSV!$D:$D,$H$2+158)*1))</f>
        <v/>
      </c>
    </row>
    <row r="160">
      <c r="I160">
        <f>IF($H$2="",NA(),IF(INDEX(CSV!$A:$A,$H$2+159)="",NA(),INDEX(CSV!$A:$A,$H$2+159)*1))</f>
        <v/>
      </c>
      <c r="J160">
        <f>IF($H$2="",NA(),IF(INDEX(CSV!$B:$B,$H$2+159)="",NA(),INDEX(CSV!$B:$B,$H$2+159)*1))</f>
        <v/>
      </c>
      <c r="K160">
        <f>IF($H$2="",NA(),IF(INDEX(CSV!$D:$D,$H$2+159)="",NA(),INDEX(CSV!$D:$D,$H$2+159)*1))</f>
        <v/>
      </c>
    </row>
    <row r="161">
      <c r="I161">
        <f>IF($H$2="",NA(),IF(INDEX(CSV!$A:$A,$H$2+160)="",NA(),INDEX(CSV!$A:$A,$H$2+160)*1))</f>
        <v/>
      </c>
      <c r="J161">
        <f>IF($H$2="",NA(),IF(INDEX(CSV!$B:$B,$H$2+160)="",NA(),INDEX(CSV!$B:$B,$H$2+160)*1))</f>
        <v/>
      </c>
      <c r="K161">
        <f>IF($H$2="",NA(),IF(INDEX(CSV!$D:$D,$H$2+160)="",NA(),INDEX(CSV!$D:$D,$H$2+160)*1))</f>
        <v/>
      </c>
    </row>
    <row r="162">
      <c r="I162">
        <f>IF($H$2="",NA(),IF(INDEX(CSV!$A:$A,$H$2+161)="",NA(),INDEX(CSV!$A:$A,$H$2+161)*1))</f>
        <v/>
      </c>
      <c r="J162">
        <f>IF($H$2="",NA(),IF(INDEX(CSV!$B:$B,$H$2+161)="",NA(),INDEX(CSV!$B:$B,$H$2+161)*1))</f>
        <v/>
      </c>
      <c r="K162">
        <f>IF($H$2="",NA(),IF(INDEX(CSV!$D:$D,$H$2+161)="",NA(),INDEX(CSV!$D:$D,$H$2+161)*1))</f>
        <v/>
      </c>
    </row>
    <row r="163">
      <c r="I163">
        <f>IF($H$2="",NA(),IF(INDEX(CSV!$A:$A,$H$2+162)="",NA(),INDEX(CSV!$A:$A,$H$2+162)*1))</f>
        <v/>
      </c>
      <c r="J163">
        <f>IF($H$2="",NA(),IF(INDEX(CSV!$B:$B,$H$2+162)="",NA(),INDEX(CSV!$B:$B,$H$2+162)*1))</f>
        <v/>
      </c>
      <c r="K163">
        <f>IF($H$2="",NA(),IF(INDEX(CSV!$D:$D,$H$2+162)="",NA(),INDEX(CSV!$D:$D,$H$2+162)*1))</f>
        <v/>
      </c>
    </row>
    <row r="164">
      <c r="I164">
        <f>IF($H$2="",NA(),IF(INDEX(CSV!$A:$A,$H$2+163)="",NA(),INDEX(CSV!$A:$A,$H$2+163)*1))</f>
        <v/>
      </c>
      <c r="J164">
        <f>IF($H$2="",NA(),IF(INDEX(CSV!$B:$B,$H$2+163)="",NA(),INDEX(CSV!$B:$B,$H$2+163)*1))</f>
        <v/>
      </c>
      <c r="K164">
        <f>IF($H$2="",NA(),IF(INDEX(CSV!$D:$D,$H$2+163)="",NA(),INDEX(CSV!$D:$D,$H$2+163)*1))</f>
        <v/>
      </c>
    </row>
    <row r="165">
      <c r="I165">
        <f>IF($H$2="",NA(),IF(INDEX(CSV!$A:$A,$H$2+164)="",NA(),INDEX(CSV!$A:$A,$H$2+164)*1))</f>
        <v/>
      </c>
      <c r="J165">
        <f>IF($H$2="",NA(),IF(INDEX(CSV!$B:$B,$H$2+164)="",NA(),INDEX(CSV!$B:$B,$H$2+164)*1))</f>
        <v/>
      </c>
      <c r="K165">
        <f>IF($H$2="",NA(),IF(INDEX(CSV!$D:$D,$H$2+164)="",NA(),INDEX(CSV!$D:$D,$H$2+164)*1))</f>
        <v/>
      </c>
    </row>
    <row r="166">
      <c r="I166">
        <f>IF($H$2="",NA(),IF(INDEX(CSV!$A:$A,$H$2+165)="",NA(),INDEX(CSV!$A:$A,$H$2+165)*1))</f>
        <v/>
      </c>
      <c r="J166">
        <f>IF($H$2="",NA(),IF(INDEX(CSV!$B:$B,$H$2+165)="",NA(),INDEX(CSV!$B:$B,$H$2+165)*1))</f>
        <v/>
      </c>
      <c r="K166">
        <f>IF($H$2="",NA(),IF(INDEX(CSV!$D:$D,$H$2+165)="",NA(),INDEX(CSV!$D:$D,$H$2+165)*1))</f>
        <v/>
      </c>
    </row>
    <row r="167">
      <c r="I167">
        <f>IF($H$2="",NA(),IF(INDEX(CSV!$A:$A,$H$2+166)="",NA(),INDEX(CSV!$A:$A,$H$2+166)*1))</f>
        <v/>
      </c>
      <c r="J167">
        <f>IF($H$2="",NA(),IF(INDEX(CSV!$B:$B,$H$2+166)="",NA(),INDEX(CSV!$B:$B,$H$2+166)*1))</f>
        <v/>
      </c>
      <c r="K167">
        <f>IF($H$2="",NA(),IF(INDEX(CSV!$D:$D,$H$2+166)="",NA(),INDEX(CSV!$D:$D,$H$2+166)*1))</f>
        <v/>
      </c>
    </row>
    <row r="168">
      <c r="I168">
        <f>IF($H$2="",NA(),IF(INDEX(CSV!$A:$A,$H$2+167)="",NA(),INDEX(CSV!$A:$A,$H$2+167)*1))</f>
        <v/>
      </c>
      <c r="J168">
        <f>IF($H$2="",NA(),IF(INDEX(CSV!$B:$B,$H$2+167)="",NA(),INDEX(CSV!$B:$B,$H$2+167)*1))</f>
        <v/>
      </c>
      <c r="K168">
        <f>IF($H$2="",NA(),IF(INDEX(CSV!$D:$D,$H$2+167)="",NA(),INDEX(CSV!$D:$D,$H$2+167)*1))</f>
        <v/>
      </c>
    </row>
    <row r="169">
      <c r="I169">
        <f>IF($H$2="",NA(),IF(INDEX(CSV!$A:$A,$H$2+168)="",NA(),INDEX(CSV!$A:$A,$H$2+168)*1))</f>
        <v/>
      </c>
      <c r="J169">
        <f>IF($H$2="",NA(),IF(INDEX(CSV!$B:$B,$H$2+168)="",NA(),INDEX(CSV!$B:$B,$H$2+168)*1))</f>
        <v/>
      </c>
      <c r="K169">
        <f>IF($H$2="",NA(),IF(INDEX(CSV!$D:$D,$H$2+168)="",NA(),INDEX(CSV!$D:$D,$H$2+168)*1))</f>
        <v/>
      </c>
    </row>
  </sheetData>
  <mergeCells count="2">
    <mergeCell ref="B24:G24"/>
    <mergeCell ref="B23:G23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K169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2026-10-25T02:48:54Z</dcterms:created>
  <dcterms:modified xmlns:dcterms="http://purl.org/dc/terms/" xmlns:xsi="http://www.w3.org/2001/XMLSchema-instance" xsi:type="dcterms:W3CDTF">2026-10-25T02:48:54Z</dcterms:modified>
</cp:coreProperties>
</file>