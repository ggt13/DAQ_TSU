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PM10 diario: real y pronóstico un día adelante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'Resultados'!$I$2:$I$41</f>
            </numRef>
          </xVal>
          <yVal>
            <numRef>
              <f>'Resultados'!$J$2:$J$41</f>
            </numRef>
          </y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'Resultados'!$I$2:$I$41</f>
            </numRef>
          </xVal>
          <yVal>
            <numRef>
              <f>'Resultados'!$K$2:$K$41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PM10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Día (0 = primer día de prueba)</t>
        </is>
      </c>
      <c r="J1" s="3">
        <f>"Real · "&amp;$B$1</f>
        <v/>
      </c>
      <c r="K1" s="3">
        <f>"Pronóstico · "&amp;$B$1</f>
        <v/>
      </c>
    </row>
    <row r="2">
      <c r="A2" t="inlineStr">
        <is>
          <t>Código de alumno ✎</t>
        </is>
      </c>
      <c r="B2" s="1" t="n"/>
      <c r="H2">
        <f>IFERROR(MATCH("dia",CSV!$A:$A,0),"")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</row>
    <row r="8">
      <c r="A8" t="inlineStr">
        <is>
          <t>Estación</t>
        </is>
      </c>
      <c r="B8">
        <f>IFERROR(VLOOKUP("estacion",CSV!$A:$B,2,FALSE),"")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</row>
    <row r="9">
      <c r="A9" t="inlineStr">
        <is>
          <t>Periodo</t>
        </is>
      </c>
      <c r="B9">
        <f>IFERROR(VLOOKUP("periodo",CSV!$A:$B,2,FALSE),"")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</row>
    <row r="12">
      <c r="A12" t="inlineStr">
        <is>
          <t>★ Pronóstico de mañana en tu toma de aire (µg/m³)</t>
        </is>
      </c>
      <c r="B12" s="4">
        <f>IFERROR(VLOOKUP("resultado:pron_A",CSV!$A:$B,2,FALSE),"")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</row>
    <row r="13">
      <c r="A13" t="inlineStr">
        <is>
          <t>MAE de la semana pasada (µg/m³)</t>
        </is>
      </c>
      <c r="B13" s="5">
        <f>IFERROR(VLOOKUP("resultado:mae_A",CSV!$A:$B,2,FALSE),"")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</row>
    <row r="14">
      <c r="A14" t="inlineStr">
        <is>
          <t>RMSE de la semana pasada (µg/m³)</t>
        </is>
      </c>
      <c r="B14" s="5">
        <f>IFERROR(VLOOKUP("resultado:rmse_A",CSV!$A:$B,2,FALSE),"")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</row>
    <row r="15">
      <c r="A15" t="inlineStr">
        <is>
          <t>Promedio del martes pasado (µg/m³)</t>
        </is>
      </c>
      <c r="B15" s="4">
        <f>IFERROR(VLOOKUP("resultado:prom_A",CSV!$A:$B,2,FALSE),"")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</row>
    <row r="16">
      <c r="A16" t="inlineStr">
        <is>
          <t>μ del AR(1) de tu estación (µg/m³)</t>
        </is>
      </c>
      <c r="B16" s="4">
        <f>IFERROR(VLOOKUP("resultado:mu_B",CSV!$A:$B,2,FALSE),"")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</row>
    <row r="17">
      <c r="A17" t="inlineStr">
        <is>
          <t>φ del AR(1) de tu estación</t>
        </is>
      </c>
      <c r="B17" s="6">
        <f>IFERROR(VLOOKUP("resultado:phi_B",CSV!$A:$B,2,FALSE),"")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</row>
    <row r="18">
      <c r="A18" t="inlineStr">
        <is>
          <t>Tu pronóstico del primer día de prueba (µg/m³)</t>
        </is>
      </c>
      <c r="B18" s="4">
        <f>IFERROR(VLOOKUP("resultado:pron_dia1",CSV!$A:$B,2,FALSE),"")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</row>
    <row r="19">
      <c r="A19" t="inlineStr">
        <is>
          <t>Lo que midió la estación ese día (µg/m³)</t>
        </is>
      </c>
      <c r="B19" s="4">
        <f>IFERROR(VLOOKUP("resultado:real_dia1",CSV!$A:$B,2,FALSE),"")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</row>
    <row r="20">
      <c r="A20" t="inlineStr">
        <is>
          <t>p del modelo elegido por AIC</t>
        </is>
      </c>
      <c r="B20" s="7">
        <f>IFERROR(VLOOKUP("resultado:p_ord",CSV!$A:$B,2,FALSE),"")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</row>
    <row r="21">
      <c r="A21" t="inlineStr">
        <is>
          <t>q del modelo elegido por AIC</t>
        </is>
      </c>
      <c r="B21" s="7">
        <f>IFERROR(VLOOKUP("resultado:q_ord",CSV!$A:$B,2,FALSE),"")</f>
        <v/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</row>
    <row r="22">
      <c r="A22" t="inlineStr">
        <is>
          <t>MAE de tu modelo, días de prueba (µg/m³)</t>
        </is>
      </c>
      <c r="B22" s="5">
        <f>IFERROR(VLOOKUP("resultado:mae_mod",CSV!$A:$B,2,FALSE),"")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</row>
    <row r="23">
      <c r="A23" t="inlineStr">
        <is>
          <t>RMSE de tu modelo, días de prueba (µg/m³)</t>
        </is>
      </c>
      <c r="B23" s="5">
        <f>IFERROR(VLOOKUP("resultado:rmse_mod",CSV!$A:$B,2,FALSE),"")</f>
        <v/>
      </c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</row>
    <row r="24">
      <c r="A24" t="inlineStr">
        <is>
          <t>MAE de la persistencia, días de prueba (µg/m³)</t>
        </is>
      </c>
      <c r="B24" s="5">
        <f>IFERROR(VLOOKUP("resultado:mae_pers",CSV!$A:$B,2,FALSE),"")</f>
        <v/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</row>
    <row r="25">
      <c r="A25" t="inlineStr">
        <is>
          <t>RMSE de la persistencia, días de prueba (µg/m³)</t>
        </is>
      </c>
      <c r="B25" s="5">
        <f>IFERROR(VLOOKUP("resultado:rmse_pers",CSV!$A:$B,2,FALSE),"")</f>
        <v/>
      </c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</row>
    <row r="26"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</row>
    <row r="27">
      <c r="A27" s="3" t="inlineStr">
        <is>
          <t>Predicho contra obtenido</t>
        </is>
      </c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</row>
    <row r="28">
      <c r="A28" t="inlineStr">
        <is>
          <t>Error de tu pronóstico del primer día respecto a lo medido (%)</t>
        </is>
      </c>
      <c r="B28" s="4">
        <f>IF(OR(B19="",B18=""),"",(B18-B19)/B19*100)</f>
        <v/>
      </c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</row>
    <row r="29"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</row>
    <row r="30">
      <c r="A30" s="3" t="inlineStr">
        <is>
          <t>Preguntas del reporte ✎</t>
        </is>
      </c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</row>
    <row r="31" ht="75" customHeight="1">
      <c r="A31" s="8" t="inlineStr">
        <is>
          <t>1. ¿Qué encontraste al limpiar tu estación (fechas, duplicados, códigos, días válidos), qué habría pasado si los códigos se hubieran tomado como ceros y cómo citarías la fuente de los datos?</t>
        </is>
      </c>
      <c r="B31" s="9" t="n"/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</row>
    <row r="32" ht="75" customHeight="1">
      <c r="A32" s="8" t="inlineStr">
        <is>
          <t>2. ¿Tu modelo le ganó a la persistencia? ¿Usarías su pronóstico (más su MAE como margen) para programar la revisión de los prefiltros? Usa tus MAE y RMSE.</t>
        </is>
      </c>
      <c r="B32" s="9" t="n"/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IF($H$2="",NA(),IF(INDEX(CSV!$C:$C,$H$2+31)="",NA(),INDEX(CSV!$C:$C,$H$2+31)*1))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IF($H$2="",NA(),IF(INDEX(CSV!$C:$C,$H$2+32)="",NA(),INDEX(CSV!$C:$C,$H$2+32)*1))</f>
        <v/>
      </c>
    </row>
    <row r="34">
      <c r="A34" s="2" t="inlineStr">
        <is>
          <t>La gráfica se arma sola al importar tu CSV. Cambia su título por tu nombre (doble clic en el título); la leyenda ya lo toma de B1.</t>
        </is>
      </c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IF($H$2="",NA(),IF(INDEX(CSV!$C:$C,$H$2+33)="",NA(),INDEX(CSV!$C:$C,$H$2+33)*1))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IF($H$2="",NA(),IF(INDEX(CSV!$C:$C,$H$2+34)="",NA(),INDEX(CSV!$C:$C,$H$2+34)*1))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IF($H$2="",NA(),IF(INDEX(CSV!$C:$C,$H$2+35)="",NA(),INDEX(CSV!$C:$C,$H$2+35)*1))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IF($H$2="",NA(),IF(INDEX(CSV!$C:$C,$H$2+36)="",NA(),INDEX(CSV!$C:$C,$H$2+36)*1))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IF($H$2="",NA(),IF(INDEX(CSV!$C:$C,$H$2+37)="",NA(),INDEX(CSV!$C:$C,$H$2+37)*1))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IF($H$2="",NA(),IF(INDEX(CSV!$C:$C,$H$2+38)="",NA(),INDEX(CSV!$C:$C,$H$2+38)*1))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IF($H$2="",NA(),IF(INDEX(CSV!$C:$C,$H$2+39)="",NA(),INDEX(CSV!$C:$C,$H$2+39)*1))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IF($H$2="",NA(),IF(INDEX(CSV!$C:$C,$H$2+40)="",NA(),INDEX(CSV!$C:$C,$H$2+40)*1))</f>
        <v/>
      </c>
    </row>
  </sheetData>
  <mergeCells count="2">
    <mergeCell ref="B32:G32"/>
    <mergeCell ref="B31:G31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4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2026-10-25T03:50:45Z</dcterms:created>
  <dcterms:modified xmlns:dcterms="http://purl.org/dc/terms/" xmlns:xsi="http://www.w3.org/2001/XMLSchema-instance" xsi:type="dcterms:W3CDTF">2026-10-25T03:50:45Z</dcterms:modified>
</cp:coreProperties>
</file>