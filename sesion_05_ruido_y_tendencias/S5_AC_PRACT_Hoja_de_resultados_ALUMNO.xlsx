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Promedios diarios y tendencia · (tu nombre)</a:t>
            </a:r>
          </a:p>
        </rich>
      </tx>
    </title>
    <plotArea>
      <scatterChart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'Resultados'!$I$2:$I$61</f>
            </numRef>
          </xVal>
          <yVal>
            <numRef>
              <f>'Resultados'!$J$2:$J$61</f>
            </numRef>
          </y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'Resultados'!$I$2:$I$61</f>
            </numRef>
          </xVal>
          <yVal>
            <numRef>
              <f>'Resultados'!$K$2:$K$61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Día</t>
        </is>
      </c>
      <c r="J1" s="3">
        <f>"Promedio diario · "&amp;$B$1</f>
        <v/>
      </c>
      <c r="K1" s="3">
        <f>"Tendencia · "&amp;$B$1</f>
        <v/>
      </c>
    </row>
    <row r="2">
      <c r="A2" t="inlineStr">
        <is>
          <t>Código de alumno ✎</t>
        </is>
      </c>
      <c r="B2" s="1" t="n"/>
      <c r="H2">
        <f>IFERROR(MATCH("dia",CSV!$A:$A,0),"")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IF($H$2="",NA(),IF(INDEX(CSV!$C:$C,$H$2+1)="",NA(),INDEX(CSV!$C:$C,$H$2+1)*1))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IF($H$2="",NA(),IF(INDEX(CSV!$C:$C,$H$2+2)="",NA(),INDEX(CSV!$C:$C,$H$2+2)*1))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IF($H$2="",NA(),IF(INDEX(CSV!$C:$C,$H$2+3)="",NA(),INDEX(CSV!$C:$C,$H$2+3)*1))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IF($H$2="",NA(),IF(INDEX(CSV!$C:$C,$H$2+4)="",NA(),INDEX(CSV!$C:$C,$H$2+4)*1))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IF($H$2="",NA(),IF(INDEX(CSV!$C:$C,$H$2+5)="",NA(),INDEX(CSV!$C:$C,$H$2+5)*1))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IF($H$2="",NA(),IF(INDEX(CSV!$C:$C,$H$2+6)="",NA(),INDEX(CSV!$C:$C,$H$2+6)*1))</f>
        <v/>
      </c>
    </row>
    <row r="8">
      <c r="A8" t="inlineStr">
        <is>
          <t>Periodo</t>
        </is>
      </c>
      <c r="B8">
        <f>IFERROR(VLOOKUP("periodo",CSV!$A:$B,2,FALSE),"")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IF($H$2="",NA(),IF(INDEX(CSV!$C:$C,$H$2+7)="",NA(),INDEX(CSV!$C:$C,$H$2+7)*1))</f>
        <v/>
      </c>
    </row>
    <row r="9">
      <c r="A9" t="inlineStr">
        <is>
          <t>Equipo (parte A)</t>
        </is>
      </c>
      <c r="B9">
        <f>IFERROR(VLOOKUP("equipo",CSV!$A:$B,2,FALSE),"")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IF($H$2="",NA(),IF(INDEX(CSV!$C:$C,$H$2+8)="",NA(),INDEX(CSV!$C:$C,$H$2+8)*1))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IF($H$2="",NA(),IF(INDEX(CSV!$C:$C,$H$2+9)="",NA(),INDEX(CSV!$C:$C,$H$2+9)*1))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IF($H$2="",NA(),IF(INDEX(CSV!$C:$C,$H$2+10)="",NA(),INDEX(CSV!$C:$C,$H$2+10)*1))</f>
        <v/>
      </c>
    </row>
    <row r="12">
      <c r="A12" t="inlineStr">
        <is>
          <t>★ Tendencia de tu equipo (°C/día)</t>
        </is>
      </c>
      <c r="B12" s="4">
        <f>IFERROR(VLOOKUP("resultado:m_tend",CSV!$A:$B,2,FALSE),"")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IF($H$2="",NA(),IF(INDEX(CSV!$C:$C,$H$2+11)="",NA(),INDEX(CSV!$C:$C,$H$2+11)*1))</f>
        <v/>
      </c>
    </row>
    <row r="13">
      <c r="A13" t="inlineStr">
        <is>
          <t>Días para llegar al límite (parte A)</t>
        </is>
      </c>
      <c r="B13" s="5">
        <f>IFERROR(VLOOKUP("resultado:dias_limite",CSV!$A:$B,2,FALSE),"")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IF($H$2="",NA(),IF(INDEX(CSV!$C:$C,$H$2+12)="",NA(),INDEX(CSV!$C:$C,$H$2+12)*1))</f>
        <v/>
      </c>
    </row>
    <row r="14">
      <c r="A14" t="inlineStr">
        <is>
          <t>Ruido después del filtro (°C)</t>
        </is>
      </c>
      <c r="B14" s="4">
        <f>IFERROR(VLOOKUP("resultado:sigma_f",CSV!$A:$B,2,FALSE),"")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IF($H$2="",NA(),IF(INDEX(CSV!$C:$C,$H$2+13)="",NA(),INDEX(CSV!$C:$C,$H$2+13)*1))</f>
        <v/>
      </c>
    </row>
    <row r="15">
      <c r="A15" t="inlineStr">
        <is>
          <t>Retraso del filtro (min)</t>
        </is>
      </c>
      <c r="B15" s="5">
        <f>IFERROR(VLOOKUP("resultado:retraso_min",CSV!$A:$B,2,FALSE),"")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IF($H$2="",NA(),IF(INDEX(CSV!$C:$C,$H$2+14)="",NA(),INDEX(CSV!$C:$C,$H$2+14)*1))</f>
        <v/>
      </c>
    </row>
    <row r="16">
      <c r="A16" t="inlineStr">
        <is>
          <t>Ventana elegida en la práctica (h)</t>
        </is>
      </c>
      <c r="B16" s="6">
        <f>IFERROR(VLOOKUP("resultado:ventana_h",CSV!$A:$B,2,FALSE),"")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IF($H$2="",NA(),IF(INDEX(CSV!$C:$C,$H$2+15)="",NA(),INDEX(CSV!$C:$C,$H$2+15)*1))</f>
        <v/>
      </c>
    </row>
    <row r="17">
      <c r="A17" t="inlineStr">
        <is>
          <t>Retraso de esa ventana (h)</t>
        </is>
      </c>
      <c r="B17" s="5">
        <f>IFERROR(VLOOKUP("resultado:retraso_B_h",CSV!$A:$B,2,FALSE),"")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IF($H$2="",NA(),IF(INDEX(CSV!$C:$C,$H$2+16)="",NA(),INDEX(CSV!$C:$C,$H$2+16)*1))</f>
        <v/>
      </c>
    </row>
    <row r="18">
      <c r="A18" t="inlineStr">
        <is>
          <t>Tendencia predicha con dos semanas (°C/día)</t>
        </is>
      </c>
      <c r="B18" s="4">
        <f>IFERROR(VLOOKUP("resultado:m_pred",CSV!$A:$B,2,FALSE),"")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IF($H$2="",NA(),IF(INDEX(CSV!$C:$C,$H$2+17)="",NA(),INDEX(CSV!$C:$C,$H$2+17)*1))</f>
        <v/>
      </c>
    </row>
    <row r="19">
      <c r="A19" t="inlineStr">
        <is>
          <t>Tendencia obtenida con 60 días (°C/día)</t>
        </is>
      </c>
      <c r="B19" s="4">
        <f>IFERROR(VLOOKUP("resultado:m_obt",CSV!$A:$B,2,FALSE),"")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IF($H$2="",NA(),IF(INDEX(CSV!$C:$C,$H$2+18)="",NA(),INDEX(CSV!$C:$C,$H$2+18)*1))</f>
        <v/>
      </c>
    </row>
    <row r="20">
      <c r="A20" t="inlineStr">
        <is>
          <t>Separación de los promedios diarios respecto a la recta (°C)</t>
        </is>
      </c>
      <c r="B20" s="7">
        <f>IFERROR(VLOOKUP("resultado:s_clima",CSV!$A:$B,2,FALSE),"")</f>
        <v/>
      </c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IF($H$2="",NA(),IF(INDEX(CSV!$C:$C,$H$2+19)="",NA(),INDEX(CSV!$C:$C,$H$2+19)*1))</f>
        <v/>
      </c>
    </row>
    <row r="21">
      <c r="A21" t="inlineStr">
        <is>
          <t>Días con promedio sobre 26 °C</t>
        </is>
      </c>
      <c r="B21" s="6">
        <f>IFERROR(VLOOKUP("resultado:dias_sobre_26",CSV!$A:$B,2,FALSE),"")</f>
        <v/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IF($H$2="",NA(),IF(INDEX(CSV!$C:$C,$H$2+20)="",NA(),INDEX(CSV!$C:$C,$H$2+20)*1))</f>
        <v/>
      </c>
    </row>
    <row r="22">
      <c r="A22" t="inlineStr">
        <is>
          <t>Días para que la recta llegue a 26 °C (0: ya lo rebasa; −1: más de 30)</t>
        </is>
      </c>
      <c r="B22" s="6">
        <f>IFERROR(VLOOKUP("resultado:dias_limite_B",CSV!$A:$B,2,FALSE),"")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IF($H$2="",NA(),IF(INDEX(CSV!$C:$C,$H$2+21)="",NA(),INDEX(CSV!$C:$C,$H$2+21)*1))</f>
        <v/>
      </c>
    </row>
    <row r="23"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IF($H$2="",NA(),IF(INDEX(CSV!$C:$C,$H$2+22)="",NA(),INDEX(CSV!$C:$C,$H$2+22)*1))</f>
        <v/>
      </c>
    </row>
    <row r="24">
      <c r="A24" s="3" t="inlineStr">
        <is>
          <t>Predicho contra obtenido</t>
        </is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IF($H$2="",NA(),IF(INDEX(CSV!$C:$C,$H$2+23)="",NA(),INDEX(CSV!$C:$C,$H$2+23)*1))</f>
        <v/>
      </c>
    </row>
    <row r="25">
      <c r="A25" t="inlineStr">
        <is>
          <t>Error de la predicción con dos semanas respecto a la recta de 60 días (%)</t>
        </is>
      </c>
      <c r="B25" s="5">
        <f>IF(OR(B19="",B18=""),"",(B18-B19)/B19*100)</f>
        <v/>
      </c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IF($H$2="",NA(),IF(INDEX(CSV!$C:$C,$H$2+24)="",NA(),INDEX(CSV!$C:$C,$H$2+24)*1))</f>
        <v/>
      </c>
    </row>
    <row r="26"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IF($H$2="",NA(),IF(INDEX(CSV!$C:$C,$H$2+25)="",NA(),INDEX(CSV!$C:$C,$H$2+25)*1))</f>
        <v/>
      </c>
    </row>
    <row r="27">
      <c r="A27" s="3" t="inlineStr">
        <is>
          <t>Preguntas del reporte ✎</t>
        </is>
      </c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IF($H$2="",NA(),IF(INDEX(CSV!$C:$C,$H$2+26)="",NA(),INDEX(CSV!$C:$C,$H$2+26)*1))</f>
        <v/>
      </c>
    </row>
    <row r="28" ht="75" customHeight="1">
      <c r="A28" s="8" t="inlineStr">
        <is>
          <t>1. ¿Por qué tu ventana elimina el ciclo día–noche y qué precio pagas por ella? Usa tu ventana y su retraso.</t>
        </is>
      </c>
      <c r="B28" s="9" t="n"/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IF($H$2="",NA(),IF(INDEX(CSV!$C:$C,$H$2+27)="",NA(),INDEX(CSV!$C:$C,$H$2+27)*1))</f>
        <v/>
      </c>
    </row>
    <row r="29" ht="75" customHeight="1">
      <c r="A29" s="8" t="inlineStr">
        <is>
          <t>2. Con tu tendencia obtenida y los días con promedio sobre 26 °C, ¿cuándo programarías la revisión preventiva de los gabinetes, y por qué dos semanas de datos no bastan para estimar la tendencia? Usa tu separación respecto a la recta.</t>
        </is>
      </c>
      <c r="B29" s="9" t="n"/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IF($H$2="",NA(),IF(INDEX(CSV!$C:$C,$H$2+28)="",NA(),INDEX(CSV!$C:$C,$H$2+28)*1))</f>
        <v/>
      </c>
    </row>
    <row r="30"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IF($H$2="",NA(),IF(INDEX(CSV!$C:$C,$H$2+29)="",NA(),INDEX(CSV!$C:$C,$H$2+29)*1))</f>
        <v/>
      </c>
    </row>
    <row r="31">
      <c r="A31" s="2" t="inlineStr">
        <is>
          <t>La gráfica se arma sola al importar tu CSV. Cambia su título por tu nombre (doble clic en el título); la leyenda ya lo toma de B1.</t>
        </is>
      </c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IF($H$2="",NA(),IF(INDEX(CSV!$C:$C,$H$2+30)="",NA(),INDEX(CSV!$C:$C,$H$2+30)*1))</f>
        <v/>
      </c>
    </row>
    <row r="32"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  <c r="K32">
        <f>IF($H$2="",NA(),IF(INDEX(CSV!$C:$C,$H$2+31)="",NA(),INDEX(CSV!$C:$C,$H$2+31)*1))</f>
        <v/>
      </c>
    </row>
    <row r="33"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  <c r="K33">
        <f>IF($H$2="",NA(),IF(INDEX(CSV!$C:$C,$H$2+32)="",NA(),INDEX(CSV!$C:$C,$H$2+32)*1))</f>
        <v/>
      </c>
    </row>
    <row r="34"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  <c r="K34">
        <f>IF($H$2="",NA(),IF(INDEX(CSV!$C:$C,$H$2+33)="",NA(),INDEX(CSV!$C:$C,$H$2+33)*1))</f>
        <v/>
      </c>
    </row>
    <row r="35"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  <c r="K35">
        <f>IF($H$2="",NA(),IF(INDEX(CSV!$C:$C,$H$2+34)="",NA(),INDEX(CSV!$C:$C,$H$2+34)*1))</f>
        <v/>
      </c>
    </row>
    <row r="36"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  <c r="K36">
        <f>IF($H$2="",NA(),IF(INDEX(CSV!$C:$C,$H$2+35)="",NA(),INDEX(CSV!$C:$C,$H$2+35)*1))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  <c r="K37">
        <f>IF($H$2="",NA(),IF(INDEX(CSV!$C:$C,$H$2+36)="",NA(),INDEX(CSV!$C:$C,$H$2+36)*1))</f>
        <v/>
      </c>
    </row>
    <row r="38"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  <c r="K38">
        <f>IF($H$2="",NA(),IF(INDEX(CSV!$C:$C,$H$2+37)="",NA(),INDEX(CSV!$C:$C,$H$2+37)*1))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  <c r="K39">
        <f>IF($H$2="",NA(),IF(INDEX(CSV!$C:$C,$H$2+38)="",NA(),INDEX(CSV!$C:$C,$H$2+38)*1))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  <c r="K40">
        <f>IF($H$2="",NA(),IF(INDEX(CSV!$C:$C,$H$2+39)="",NA(),INDEX(CSV!$C:$C,$H$2+39)*1))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  <c r="K41">
        <f>IF($H$2="",NA(),IF(INDEX(CSV!$C:$C,$H$2+40)="",NA(),INDEX(CSV!$C:$C,$H$2+40)*1))</f>
        <v/>
      </c>
    </row>
    <row r="42">
      <c r="I42">
        <f>IF($H$2="",NA(),IF(INDEX(CSV!$A:$A,$H$2+41)="",NA(),INDEX(CSV!$A:$A,$H$2+41)*1))</f>
        <v/>
      </c>
      <c r="J42">
        <f>IF($H$2="",NA(),IF(INDEX(CSV!$B:$B,$H$2+41)="",NA(),INDEX(CSV!$B:$B,$H$2+41)*1))</f>
        <v/>
      </c>
      <c r="K42">
        <f>IF($H$2="",NA(),IF(INDEX(CSV!$C:$C,$H$2+41)="",NA(),INDEX(CSV!$C:$C,$H$2+41)*1))</f>
        <v/>
      </c>
    </row>
    <row r="43">
      <c r="I43">
        <f>IF($H$2="",NA(),IF(INDEX(CSV!$A:$A,$H$2+42)="",NA(),INDEX(CSV!$A:$A,$H$2+42)*1))</f>
        <v/>
      </c>
      <c r="J43">
        <f>IF($H$2="",NA(),IF(INDEX(CSV!$B:$B,$H$2+42)="",NA(),INDEX(CSV!$B:$B,$H$2+42)*1))</f>
        <v/>
      </c>
      <c r="K43">
        <f>IF($H$2="",NA(),IF(INDEX(CSV!$C:$C,$H$2+42)="",NA(),INDEX(CSV!$C:$C,$H$2+42)*1))</f>
        <v/>
      </c>
    </row>
    <row r="44">
      <c r="I44">
        <f>IF($H$2="",NA(),IF(INDEX(CSV!$A:$A,$H$2+43)="",NA(),INDEX(CSV!$A:$A,$H$2+43)*1))</f>
        <v/>
      </c>
      <c r="J44">
        <f>IF($H$2="",NA(),IF(INDEX(CSV!$B:$B,$H$2+43)="",NA(),INDEX(CSV!$B:$B,$H$2+43)*1))</f>
        <v/>
      </c>
      <c r="K44">
        <f>IF($H$2="",NA(),IF(INDEX(CSV!$C:$C,$H$2+43)="",NA(),INDEX(CSV!$C:$C,$H$2+43)*1))</f>
        <v/>
      </c>
    </row>
    <row r="45">
      <c r="I45">
        <f>IF($H$2="",NA(),IF(INDEX(CSV!$A:$A,$H$2+44)="",NA(),INDEX(CSV!$A:$A,$H$2+44)*1))</f>
        <v/>
      </c>
      <c r="J45">
        <f>IF($H$2="",NA(),IF(INDEX(CSV!$B:$B,$H$2+44)="",NA(),INDEX(CSV!$B:$B,$H$2+44)*1))</f>
        <v/>
      </c>
      <c r="K45">
        <f>IF($H$2="",NA(),IF(INDEX(CSV!$C:$C,$H$2+44)="",NA(),INDEX(CSV!$C:$C,$H$2+44)*1))</f>
        <v/>
      </c>
    </row>
    <row r="46">
      <c r="I46">
        <f>IF($H$2="",NA(),IF(INDEX(CSV!$A:$A,$H$2+45)="",NA(),INDEX(CSV!$A:$A,$H$2+45)*1))</f>
        <v/>
      </c>
      <c r="J46">
        <f>IF($H$2="",NA(),IF(INDEX(CSV!$B:$B,$H$2+45)="",NA(),INDEX(CSV!$B:$B,$H$2+45)*1))</f>
        <v/>
      </c>
      <c r="K46">
        <f>IF($H$2="",NA(),IF(INDEX(CSV!$C:$C,$H$2+45)="",NA(),INDEX(CSV!$C:$C,$H$2+45)*1))</f>
        <v/>
      </c>
    </row>
    <row r="47">
      <c r="I47">
        <f>IF($H$2="",NA(),IF(INDEX(CSV!$A:$A,$H$2+46)="",NA(),INDEX(CSV!$A:$A,$H$2+46)*1))</f>
        <v/>
      </c>
      <c r="J47">
        <f>IF($H$2="",NA(),IF(INDEX(CSV!$B:$B,$H$2+46)="",NA(),INDEX(CSV!$B:$B,$H$2+46)*1))</f>
        <v/>
      </c>
      <c r="K47">
        <f>IF($H$2="",NA(),IF(INDEX(CSV!$C:$C,$H$2+46)="",NA(),INDEX(CSV!$C:$C,$H$2+46)*1))</f>
        <v/>
      </c>
    </row>
    <row r="48">
      <c r="I48">
        <f>IF($H$2="",NA(),IF(INDEX(CSV!$A:$A,$H$2+47)="",NA(),INDEX(CSV!$A:$A,$H$2+47)*1))</f>
        <v/>
      </c>
      <c r="J48">
        <f>IF($H$2="",NA(),IF(INDEX(CSV!$B:$B,$H$2+47)="",NA(),INDEX(CSV!$B:$B,$H$2+47)*1))</f>
        <v/>
      </c>
      <c r="K48">
        <f>IF($H$2="",NA(),IF(INDEX(CSV!$C:$C,$H$2+47)="",NA(),INDEX(CSV!$C:$C,$H$2+47)*1))</f>
        <v/>
      </c>
    </row>
    <row r="49">
      <c r="I49">
        <f>IF($H$2="",NA(),IF(INDEX(CSV!$A:$A,$H$2+48)="",NA(),INDEX(CSV!$A:$A,$H$2+48)*1))</f>
        <v/>
      </c>
      <c r="J49">
        <f>IF($H$2="",NA(),IF(INDEX(CSV!$B:$B,$H$2+48)="",NA(),INDEX(CSV!$B:$B,$H$2+48)*1))</f>
        <v/>
      </c>
      <c r="K49">
        <f>IF($H$2="",NA(),IF(INDEX(CSV!$C:$C,$H$2+48)="",NA(),INDEX(CSV!$C:$C,$H$2+48)*1))</f>
        <v/>
      </c>
    </row>
    <row r="50">
      <c r="I50">
        <f>IF($H$2="",NA(),IF(INDEX(CSV!$A:$A,$H$2+49)="",NA(),INDEX(CSV!$A:$A,$H$2+49)*1))</f>
        <v/>
      </c>
      <c r="J50">
        <f>IF($H$2="",NA(),IF(INDEX(CSV!$B:$B,$H$2+49)="",NA(),INDEX(CSV!$B:$B,$H$2+49)*1))</f>
        <v/>
      </c>
      <c r="K50">
        <f>IF($H$2="",NA(),IF(INDEX(CSV!$C:$C,$H$2+49)="",NA(),INDEX(CSV!$C:$C,$H$2+49)*1))</f>
        <v/>
      </c>
    </row>
    <row r="51">
      <c r="I51">
        <f>IF($H$2="",NA(),IF(INDEX(CSV!$A:$A,$H$2+50)="",NA(),INDEX(CSV!$A:$A,$H$2+50)*1))</f>
        <v/>
      </c>
      <c r="J51">
        <f>IF($H$2="",NA(),IF(INDEX(CSV!$B:$B,$H$2+50)="",NA(),INDEX(CSV!$B:$B,$H$2+50)*1))</f>
        <v/>
      </c>
      <c r="K51">
        <f>IF($H$2="",NA(),IF(INDEX(CSV!$C:$C,$H$2+50)="",NA(),INDEX(CSV!$C:$C,$H$2+50)*1))</f>
        <v/>
      </c>
    </row>
    <row r="52">
      <c r="I52">
        <f>IF($H$2="",NA(),IF(INDEX(CSV!$A:$A,$H$2+51)="",NA(),INDEX(CSV!$A:$A,$H$2+51)*1))</f>
        <v/>
      </c>
      <c r="J52">
        <f>IF($H$2="",NA(),IF(INDEX(CSV!$B:$B,$H$2+51)="",NA(),INDEX(CSV!$B:$B,$H$2+51)*1))</f>
        <v/>
      </c>
      <c r="K52">
        <f>IF($H$2="",NA(),IF(INDEX(CSV!$C:$C,$H$2+51)="",NA(),INDEX(CSV!$C:$C,$H$2+51)*1))</f>
        <v/>
      </c>
    </row>
    <row r="53">
      <c r="I53">
        <f>IF($H$2="",NA(),IF(INDEX(CSV!$A:$A,$H$2+52)="",NA(),INDEX(CSV!$A:$A,$H$2+52)*1))</f>
        <v/>
      </c>
      <c r="J53">
        <f>IF($H$2="",NA(),IF(INDEX(CSV!$B:$B,$H$2+52)="",NA(),INDEX(CSV!$B:$B,$H$2+52)*1))</f>
        <v/>
      </c>
      <c r="K53">
        <f>IF($H$2="",NA(),IF(INDEX(CSV!$C:$C,$H$2+52)="",NA(),INDEX(CSV!$C:$C,$H$2+52)*1))</f>
        <v/>
      </c>
    </row>
    <row r="54">
      <c r="I54">
        <f>IF($H$2="",NA(),IF(INDEX(CSV!$A:$A,$H$2+53)="",NA(),INDEX(CSV!$A:$A,$H$2+53)*1))</f>
        <v/>
      </c>
      <c r="J54">
        <f>IF($H$2="",NA(),IF(INDEX(CSV!$B:$B,$H$2+53)="",NA(),INDEX(CSV!$B:$B,$H$2+53)*1))</f>
        <v/>
      </c>
      <c r="K54">
        <f>IF($H$2="",NA(),IF(INDEX(CSV!$C:$C,$H$2+53)="",NA(),INDEX(CSV!$C:$C,$H$2+53)*1))</f>
        <v/>
      </c>
    </row>
    <row r="55">
      <c r="I55">
        <f>IF($H$2="",NA(),IF(INDEX(CSV!$A:$A,$H$2+54)="",NA(),INDEX(CSV!$A:$A,$H$2+54)*1))</f>
        <v/>
      </c>
      <c r="J55">
        <f>IF($H$2="",NA(),IF(INDEX(CSV!$B:$B,$H$2+54)="",NA(),INDEX(CSV!$B:$B,$H$2+54)*1))</f>
        <v/>
      </c>
      <c r="K55">
        <f>IF($H$2="",NA(),IF(INDEX(CSV!$C:$C,$H$2+54)="",NA(),INDEX(CSV!$C:$C,$H$2+54)*1))</f>
        <v/>
      </c>
    </row>
    <row r="56">
      <c r="I56">
        <f>IF($H$2="",NA(),IF(INDEX(CSV!$A:$A,$H$2+55)="",NA(),INDEX(CSV!$A:$A,$H$2+55)*1))</f>
        <v/>
      </c>
      <c r="J56">
        <f>IF($H$2="",NA(),IF(INDEX(CSV!$B:$B,$H$2+55)="",NA(),INDEX(CSV!$B:$B,$H$2+55)*1))</f>
        <v/>
      </c>
      <c r="K56">
        <f>IF($H$2="",NA(),IF(INDEX(CSV!$C:$C,$H$2+55)="",NA(),INDEX(CSV!$C:$C,$H$2+55)*1))</f>
        <v/>
      </c>
    </row>
    <row r="57">
      <c r="I57">
        <f>IF($H$2="",NA(),IF(INDEX(CSV!$A:$A,$H$2+56)="",NA(),INDEX(CSV!$A:$A,$H$2+56)*1))</f>
        <v/>
      </c>
      <c r="J57">
        <f>IF($H$2="",NA(),IF(INDEX(CSV!$B:$B,$H$2+56)="",NA(),INDEX(CSV!$B:$B,$H$2+56)*1))</f>
        <v/>
      </c>
      <c r="K57">
        <f>IF($H$2="",NA(),IF(INDEX(CSV!$C:$C,$H$2+56)="",NA(),INDEX(CSV!$C:$C,$H$2+56)*1))</f>
        <v/>
      </c>
    </row>
    <row r="58">
      <c r="I58">
        <f>IF($H$2="",NA(),IF(INDEX(CSV!$A:$A,$H$2+57)="",NA(),INDEX(CSV!$A:$A,$H$2+57)*1))</f>
        <v/>
      </c>
      <c r="J58">
        <f>IF($H$2="",NA(),IF(INDEX(CSV!$B:$B,$H$2+57)="",NA(),INDEX(CSV!$B:$B,$H$2+57)*1))</f>
        <v/>
      </c>
      <c r="K58">
        <f>IF($H$2="",NA(),IF(INDEX(CSV!$C:$C,$H$2+57)="",NA(),INDEX(CSV!$C:$C,$H$2+57)*1))</f>
        <v/>
      </c>
    </row>
    <row r="59">
      <c r="I59">
        <f>IF($H$2="",NA(),IF(INDEX(CSV!$A:$A,$H$2+58)="",NA(),INDEX(CSV!$A:$A,$H$2+58)*1))</f>
        <v/>
      </c>
      <c r="J59">
        <f>IF($H$2="",NA(),IF(INDEX(CSV!$B:$B,$H$2+58)="",NA(),INDEX(CSV!$B:$B,$H$2+58)*1))</f>
        <v/>
      </c>
      <c r="K59">
        <f>IF($H$2="",NA(),IF(INDEX(CSV!$C:$C,$H$2+58)="",NA(),INDEX(CSV!$C:$C,$H$2+58)*1))</f>
        <v/>
      </c>
    </row>
    <row r="60">
      <c r="I60">
        <f>IF($H$2="",NA(),IF(INDEX(CSV!$A:$A,$H$2+59)="",NA(),INDEX(CSV!$A:$A,$H$2+59)*1))</f>
        <v/>
      </c>
      <c r="J60">
        <f>IF($H$2="",NA(),IF(INDEX(CSV!$B:$B,$H$2+59)="",NA(),INDEX(CSV!$B:$B,$H$2+59)*1))</f>
        <v/>
      </c>
      <c r="K60">
        <f>IF($H$2="",NA(),IF(INDEX(CSV!$C:$C,$H$2+59)="",NA(),INDEX(CSV!$C:$C,$H$2+59)*1))</f>
        <v/>
      </c>
    </row>
    <row r="61">
      <c r="I61">
        <f>IF($H$2="",NA(),IF(INDEX(CSV!$A:$A,$H$2+60)="",NA(),INDEX(CSV!$A:$A,$H$2+60)*1))</f>
        <v/>
      </c>
      <c r="J61">
        <f>IF($H$2="",NA(),IF(INDEX(CSV!$B:$B,$H$2+60)="",NA(),INDEX(CSV!$B:$B,$H$2+60)*1))</f>
        <v/>
      </c>
      <c r="K61">
        <f>IF($H$2="",NA(),IF(INDEX(CSV!$C:$C,$H$2+60)="",NA(),INDEX(CSV!$C:$C,$H$2+60)*1))</f>
        <v/>
      </c>
    </row>
  </sheetData>
  <mergeCells count="2">
    <mergeCell ref="B29:G29"/>
    <mergeCell ref="B28:G28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6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2026-10-25T03:25:49Z</dcterms:created>
  <dcterms:modified xmlns:dcterms="http://purl.org/dc/terms/" xmlns:xsi="http://www.w3.org/2001/XMLSchema-instance" xsi:type="dcterms:W3CDTF">2026-10-25T03:25:49Z</dcterms:modified>
</cp:coreProperties>
</file>